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OCHAAPMBMonitoringandTools/Shared Documents/HPC Tools and Field support/Data/HDX/2026/JIAF data/"/>
    </mc:Choice>
  </mc:AlternateContent>
  <xr:revisionPtr revIDLastSave="46" documentId="13_ncr:1_{94143E5E-3B3A-4A51-AC2C-7024D5A10007}" xr6:coauthVersionLast="47" xr6:coauthVersionMax="47" xr10:uidLastSave="{A8294A6D-5E7F-40EA-AB9F-AD8D0CFAA124}"/>
  <bookViews>
    <workbookView xWindow="-96" yWindow="-96" windowWidth="23232" windowHeight="13872" tabRatio="692" activeTab="2" xr2:uid="{D7B6F9FA-E942-409C-A119-37236683EDB5}"/>
  </bookViews>
  <sheets>
    <sheet name="WS - 3.1 Overall PiN" sheetId="27" r:id="rId1"/>
    <sheet name="PiN Visuals" sheetId="100" state="hidden" r:id="rId2"/>
    <sheet name="WS - 3.2 Intersectoral Severity" sheetId="93" r:id="rId3"/>
    <sheet name="Preliminary results graph" sheetId="105" state="hidden" r:id="rId4"/>
    <sheet name="PiN &amp; Sev - Corr Coeff" sheetId="108" state="hidden" r:id="rId5"/>
    <sheet name="PiN &amp; Sev - value overlapping" sheetId="110" state="hidden" r:id="rId6"/>
    <sheet name="PiN &amp; Sev - 1st &amp; 2nd highest" sheetId="112" state="hidden" r:id="rId7"/>
  </sheets>
  <definedNames>
    <definedName name="_xlnm._FilterDatabase" localSheetId="1" hidden="1">'PiN Visuals'!$A$6:$F$20</definedName>
    <definedName name="_xlnm._FilterDatabase" localSheetId="0" hidden="1">'WS - 3.1 Overall PiN'!$R$3:$S$3</definedName>
    <definedName name="_xlnm._FilterDatabase" localSheetId="2" hidden="1">'WS - 3.2 Intersectoral Severity'!$V$3:$W$3</definedName>
    <definedName name="flag_pin_historical">#REF!</definedName>
    <definedName name="flag_pin_perc">#REF!</definedName>
    <definedName name="perc_1st_2nd">#REF!</definedName>
    <definedName name="perc_1st_3rd">#REF!</definedName>
    <definedName name="pin_perc">'PiN Visuals'!$B$5:$F$16</definedName>
    <definedName name="sectors_sev_4">#REF!</definedName>
    <definedName name="sectors_sev_5">#REF!</definedName>
    <definedName name="zero_pin_thres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" i="112" l="1"/>
  <c r="AA14" i="112"/>
  <c r="Z15" i="112"/>
  <c r="AA15" i="112"/>
  <c r="L14" i="112"/>
  <c r="M14" i="112"/>
  <c r="L15" i="112"/>
  <c r="M15" i="112"/>
  <c r="C4" i="112" a="1"/>
  <c r="C4" i="112" s="1"/>
  <c r="C14" i="112" s="1"/>
  <c r="P5" i="112" a="1"/>
  <c r="Z13" i="112" s="1"/>
  <c r="B5" i="112" a="1"/>
  <c r="Q4" i="112" a="1"/>
  <c r="Y14" i="112" s="1"/>
  <c r="K13" i="110" a="1"/>
  <c r="K13" i="110" s="1"/>
  <c r="K14" i="110" a="1"/>
  <c r="K14" i="110" s="1"/>
  <c r="L14" i="110" a="1"/>
  <c r="L14" i="110" s="1"/>
  <c r="A4" i="110" a="1"/>
  <c r="X13" i="110" a="1"/>
  <c r="X13" i="110" s="1"/>
  <c r="X14" i="110" a="1"/>
  <c r="X14" i="110" s="1"/>
  <c r="Y14" i="110" a="1"/>
  <c r="Y14" i="110" s="1"/>
  <c r="N4" i="110" a="1"/>
  <c r="O3" i="110" a="1"/>
  <c r="B3" i="110" a="1"/>
  <c r="J13" i="110" s="1" a="1"/>
  <c r="J13" i="110" s="1"/>
  <c r="N4" i="108" a="1"/>
  <c r="O3" i="108" a="1"/>
  <c r="Y14" i="108"/>
  <c r="X14" i="108"/>
  <c r="X13" i="108"/>
  <c r="L27" i="105"/>
  <c r="U26" i="105" a="1"/>
  <c r="U26" i="105" s="1"/>
  <c r="C26" i="105" a="1"/>
  <c r="C26" i="105" s="1"/>
  <c r="A5" i="105"/>
  <c r="A7" i="105" s="1"/>
  <c r="W3" i="105" a="1"/>
  <c r="AC5" i="105" s="1" a="1"/>
  <c r="AC5" i="105" s="1"/>
  <c r="B2" i="105" a="1"/>
  <c r="D3" i="105" s="1"/>
  <c r="I77" i="100" a="1"/>
  <c r="I77" i="100" s="1"/>
  <c r="F77" i="100" a="1"/>
  <c r="F77" i="100" s="1"/>
  <c r="E77" i="100" a="1"/>
  <c r="E77" i="100" s="1"/>
  <c r="B77" i="100" a="1"/>
  <c r="B77" i="100" s="1"/>
  <c r="I76" i="100" a="1"/>
  <c r="I76" i="100" s="1"/>
  <c r="F76" i="100" a="1"/>
  <c r="F76" i="100" s="1"/>
  <c r="E76" i="100" a="1"/>
  <c r="E76" i="100" s="1"/>
  <c r="B76" i="100" a="1"/>
  <c r="B76" i="100" s="1"/>
  <c r="I75" i="100" a="1"/>
  <c r="I75" i="100" s="1"/>
  <c r="F75" i="100" a="1"/>
  <c r="F75" i="100" s="1"/>
  <c r="E75" i="100" a="1"/>
  <c r="E75" i="100" s="1"/>
  <c r="B75" i="100" a="1"/>
  <c r="B75" i="100" s="1"/>
  <c r="I74" i="100" a="1"/>
  <c r="I74" i="100" s="1"/>
  <c r="F74" i="100" a="1"/>
  <c r="F74" i="100" s="1"/>
  <c r="E74" i="100" a="1"/>
  <c r="E74" i="100" s="1"/>
  <c r="B74" i="100" a="1"/>
  <c r="B74" i="100" s="1"/>
  <c r="I73" i="100" a="1"/>
  <c r="I73" i="100" s="1"/>
  <c r="F73" i="100" a="1"/>
  <c r="F73" i="100" s="1"/>
  <c r="E73" i="100" a="1"/>
  <c r="E73" i="100" s="1"/>
  <c r="B73" i="100" a="1"/>
  <c r="B73" i="100" s="1"/>
  <c r="I72" i="100" a="1"/>
  <c r="I72" i="100" s="1"/>
  <c r="F72" i="100" a="1"/>
  <c r="F72" i="100" s="1"/>
  <c r="E72" i="100" a="1"/>
  <c r="E72" i="100" s="1"/>
  <c r="B72" i="100" a="1"/>
  <c r="B72" i="100" s="1"/>
  <c r="I71" i="100" a="1"/>
  <c r="I71" i="100" s="1"/>
  <c r="F71" i="100" a="1"/>
  <c r="F71" i="100" s="1"/>
  <c r="E71" i="100" a="1"/>
  <c r="E71" i="100" s="1"/>
  <c r="B71" i="100" a="1"/>
  <c r="B71" i="100" s="1"/>
  <c r="I70" i="100" a="1"/>
  <c r="I70" i="100" s="1"/>
  <c r="F70" i="100" a="1"/>
  <c r="F70" i="100" s="1"/>
  <c r="E70" i="100" a="1"/>
  <c r="E70" i="100" s="1"/>
  <c r="B70" i="100" a="1"/>
  <c r="B70" i="100" s="1"/>
  <c r="I69" i="100" a="1"/>
  <c r="I69" i="100" s="1"/>
  <c r="F69" i="100" a="1"/>
  <c r="F69" i="100" s="1"/>
  <c r="E69" i="100" a="1"/>
  <c r="E69" i="100" s="1"/>
  <c r="B69" i="100" a="1"/>
  <c r="B69" i="100" s="1"/>
  <c r="I68" i="100" a="1"/>
  <c r="I68" i="100" s="1"/>
  <c r="F68" i="100" a="1"/>
  <c r="F68" i="100" s="1"/>
  <c r="E68" i="100" a="1"/>
  <c r="E68" i="100" s="1"/>
  <c r="B68" i="100" a="1"/>
  <c r="B68" i="100" s="1"/>
  <c r="I67" i="100" a="1"/>
  <c r="I67" i="100" s="1"/>
  <c r="F67" i="100" a="1"/>
  <c r="F67" i="100" s="1"/>
  <c r="E67" i="100" a="1"/>
  <c r="E67" i="100" s="1"/>
  <c r="B67" i="100" a="1"/>
  <c r="B67" i="100" s="1"/>
  <c r="I66" i="100" a="1"/>
  <c r="I66" i="100" s="1"/>
  <c r="F66" i="100" a="1"/>
  <c r="F66" i="100" s="1"/>
  <c r="E66" i="100" a="1"/>
  <c r="E66" i="100" s="1"/>
  <c r="B66" i="100" a="1"/>
  <c r="B66" i="100" s="1"/>
  <c r="I65" i="100" a="1"/>
  <c r="I65" i="100" s="1"/>
  <c r="F65" i="100" a="1"/>
  <c r="F65" i="100" s="1"/>
  <c r="E65" i="100" a="1"/>
  <c r="E65" i="100" s="1"/>
  <c r="B65" i="100" a="1"/>
  <c r="B65" i="100" s="1"/>
  <c r="I64" i="100" a="1"/>
  <c r="I64" i="100" s="1"/>
  <c r="F64" i="100" a="1"/>
  <c r="F64" i="100" s="1"/>
  <c r="E64" i="100" a="1"/>
  <c r="E64" i="100" s="1"/>
  <c r="B64" i="100" a="1"/>
  <c r="B64" i="100" s="1"/>
  <c r="I63" i="100" a="1"/>
  <c r="I63" i="100" s="1"/>
  <c r="F63" i="100" a="1"/>
  <c r="F63" i="100" s="1"/>
  <c r="E63" i="100" a="1"/>
  <c r="E63" i="100" s="1"/>
  <c r="B63" i="100" a="1"/>
  <c r="B63" i="100" s="1"/>
  <c r="I62" i="100" a="1"/>
  <c r="I62" i="100" s="1"/>
  <c r="F62" i="100" a="1"/>
  <c r="F62" i="100" s="1"/>
  <c r="E62" i="100" a="1"/>
  <c r="E62" i="100" s="1"/>
  <c r="B62" i="100" a="1"/>
  <c r="B62" i="100" s="1"/>
  <c r="I61" i="100" a="1"/>
  <c r="I61" i="100" s="1"/>
  <c r="F61" i="100" a="1"/>
  <c r="F61" i="100" s="1"/>
  <c r="E61" i="100" a="1"/>
  <c r="E61" i="100" s="1"/>
  <c r="B61" i="100" a="1"/>
  <c r="B61" i="100" s="1"/>
  <c r="I60" i="100" a="1"/>
  <c r="I60" i="100" s="1"/>
  <c r="F60" i="100" a="1"/>
  <c r="F60" i="100" s="1"/>
  <c r="E60" i="100" a="1"/>
  <c r="E60" i="100" s="1"/>
  <c r="B60" i="100" a="1"/>
  <c r="B60" i="100" s="1"/>
  <c r="I59" i="100" a="1"/>
  <c r="I59" i="100" s="1"/>
  <c r="F59" i="100" a="1"/>
  <c r="F59" i="100" s="1"/>
  <c r="E59" i="100" a="1"/>
  <c r="E59" i="100" s="1"/>
  <c r="B59" i="100" a="1"/>
  <c r="B59" i="100" s="1"/>
  <c r="I58" i="100" a="1"/>
  <c r="I58" i="100" s="1"/>
  <c r="F58" i="100" a="1"/>
  <c r="F58" i="100" s="1"/>
  <c r="E58" i="100" a="1"/>
  <c r="E58" i="100" s="1"/>
  <c r="B58" i="100" a="1"/>
  <c r="B58" i="100" s="1"/>
  <c r="I57" i="100" a="1"/>
  <c r="I57" i="100" s="1"/>
  <c r="F57" i="100" a="1"/>
  <c r="F57" i="100" s="1"/>
  <c r="E57" i="100" a="1"/>
  <c r="E57" i="100" s="1"/>
  <c r="B57" i="100" a="1"/>
  <c r="B57" i="100" s="1"/>
  <c r="I56" i="100" a="1"/>
  <c r="I56" i="100" s="1"/>
  <c r="F56" i="100" a="1"/>
  <c r="F56" i="100" s="1"/>
  <c r="E56" i="100" a="1"/>
  <c r="E56" i="100" s="1"/>
  <c r="B56" i="100" a="1"/>
  <c r="B56" i="100" s="1"/>
  <c r="I55" i="100" a="1"/>
  <c r="I55" i="100" s="1"/>
  <c r="F55" i="100" a="1"/>
  <c r="F55" i="100" s="1"/>
  <c r="E55" i="100" a="1"/>
  <c r="E55" i="100" s="1"/>
  <c r="B55" i="100" a="1"/>
  <c r="B55" i="100" s="1"/>
  <c r="I54" i="100" a="1"/>
  <c r="I54" i="100" s="1"/>
  <c r="F54" i="100" a="1"/>
  <c r="F54" i="100" s="1"/>
  <c r="E54" i="100" a="1"/>
  <c r="E54" i="100" s="1"/>
  <c r="B54" i="100" a="1"/>
  <c r="B54" i="100" s="1"/>
  <c r="I53" i="100" a="1"/>
  <c r="I53" i="100" s="1"/>
  <c r="F53" i="100" a="1"/>
  <c r="F53" i="100" s="1"/>
  <c r="E53" i="100" a="1"/>
  <c r="E53" i="100" s="1"/>
  <c r="B53" i="100" a="1"/>
  <c r="B53" i="100" s="1"/>
  <c r="I52" i="100" a="1"/>
  <c r="I52" i="100" s="1"/>
  <c r="F52" i="100" a="1"/>
  <c r="F52" i="100" s="1"/>
  <c r="E52" i="100" a="1"/>
  <c r="E52" i="100" s="1"/>
  <c r="B52" i="100" a="1"/>
  <c r="B52" i="100" s="1"/>
  <c r="I51" i="100" a="1"/>
  <c r="I51" i="100" s="1"/>
  <c r="F51" i="100" a="1"/>
  <c r="F51" i="100" s="1"/>
  <c r="E51" i="100" a="1"/>
  <c r="E51" i="100" s="1"/>
  <c r="B51" i="100" a="1"/>
  <c r="B51" i="100" s="1"/>
  <c r="I50" i="100" a="1"/>
  <c r="I50" i="100" s="1"/>
  <c r="F50" i="100" a="1"/>
  <c r="F50" i="100" s="1"/>
  <c r="E50" i="100" a="1"/>
  <c r="E50" i="100" s="1"/>
  <c r="B50" i="100" a="1"/>
  <c r="B50" i="100" s="1"/>
  <c r="I49" i="100" a="1"/>
  <c r="I49" i="100" s="1"/>
  <c r="F49" i="100" a="1"/>
  <c r="F49" i="100" s="1"/>
  <c r="E49" i="100" a="1"/>
  <c r="E49" i="100" s="1"/>
  <c r="B49" i="100" a="1"/>
  <c r="B49" i="100" s="1"/>
  <c r="I48" i="100" a="1"/>
  <c r="I48" i="100" s="1"/>
  <c r="F48" i="100" a="1"/>
  <c r="F48" i="100" s="1"/>
  <c r="E48" i="100" a="1"/>
  <c r="E48" i="100" s="1"/>
  <c r="B48" i="100" a="1"/>
  <c r="B48" i="100" s="1"/>
  <c r="I47" i="100" a="1"/>
  <c r="I47" i="100" s="1"/>
  <c r="F47" i="100" a="1"/>
  <c r="F47" i="100" s="1"/>
  <c r="E47" i="100" a="1"/>
  <c r="E47" i="100" s="1"/>
  <c r="B47" i="100" a="1"/>
  <c r="B47" i="100" s="1"/>
  <c r="I46" i="100" a="1"/>
  <c r="I46" i="100" s="1"/>
  <c r="F46" i="100" a="1"/>
  <c r="F46" i="100" s="1"/>
  <c r="E46" i="100" a="1"/>
  <c r="E46" i="100" s="1"/>
  <c r="B46" i="100" a="1"/>
  <c r="B46" i="100" s="1"/>
  <c r="I45" i="100" a="1"/>
  <c r="I45" i="100" s="1"/>
  <c r="F45" i="100" a="1"/>
  <c r="F45" i="100" s="1"/>
  <c r="E45" i="100" a="1"/>
  <c r="E45" i="100" s="1"/>
  <c r="B45" i="100" a="1"/>
  <c r="B45" i="100" s="1"/>
  <c r="I44" i="100" a="1"/>
  <c r="I44" i="100" s="1"/>
  <c r="F44" i="100" a="1"/>
  <c r="F44" i="100" s="1"/>
  <c r="E44" i="100" a="1"/>
  <c r="E44" i="100" s="1"/>
  <c r="B44" i="100" a="1"/>
  <c r="B44" i="100" s="1"/>
  <c r="I43" i="100" a="1"/>
  <c r="I43" i="100" s="1"/>
  <c r="F43" i="100" a="1"/>
  <c r="F43" i="100" s="1"/>
  <c r="E43" i="100" a="1"/>
  <c r="E43" i="100" s="1"/>
  <c r="B43" i="100" a="1"/>
  <c r="B43" i="100" s="1"/>
  <c r="I42" i="100" a="1"/>
  <c r="I42" i="100" s="1"/>
  <c r="F42" i="100" a="1"/>
  <c r="F42" i="100" s="1"/>
  <c r="E42" i="100" a="1"/>
  <c r="E42" i="100" s="1"/>
  <c r="B42" i="100" a="1"/>
  <c r="B42" i="100" s="1"/>
  <c r="I41" i="100" a="1"/>
  <c r="I41" i="100" s="1"/>
  <c r="F41" i="100" a="1"/>
  <c r="F41" i="100" s="1"/>
  <c r="E41" i="100" a="1"/>
  <c r="E41" i="100" s="1"/>
  <c r="B41" i="100" a="1"/>
  <c r="B41" i="100" s="1"/>
  <c r="I40" i="100" a="1"/>
  <c r="I40" i="100" s="1"/>
  <c r="F40" i="100" a="1"/>
  <c r="F40" i="100" s="1"/>
  <c r="E40" i="100" a="1"/>
  <c r="E40" i="100" s="1"/>
  <c r="B40" i="100" a="1"/>
  <c r="B40" i="100" s="1"/>
  <c r="I39" i="100" a="1"/>
  <c r="I39" i="100" s="1"/>
  <c r="F39" i="100" a="1"/>
  <c r="F39" i="100" s="1"/>
  <c r="E39" i="100" a="1"/>
  <c r="E39" i="100" s="1"/>
  <c r="B39" i="100" a="1"/>
  <c r="B39" i="100" s="1"/>
  <c r="I38" i="100" a="1"/>
  <c r="I38" i="100" s="1"/>
  <c r="F38" i="100" a="1"/>
  <c r="F38" i="100" s="1"/>
  <c r="E38" i="100" a="1"/>
  <c r="E38" i="100" s="1"/>
  <c r="B38" i="100" a="1"/>
  <c r="B38" i="100" s="1"/>
  <c r="I37" i="100" a="1"/>
  <c r="I37" i="100" s="1"/>
  <c r="F37" i="100" a="1"/>
  <c r="F37" i="100" s="1"/>
  <c r="E37" i="100" a="1"/>
  <c r="E37" i="100" s="1"/>
  <c r="B37" i="100" a="1"/>
  <c r="B37" i="100" s="1"/>
  <c r="I36" i="100" a="1"/>
  <c r="I36" i="100" s="1"/>
  <c r="F36" i="100" a="1"/>
  <c r="F36" i="100" s="1"/>
  <c r="E36" i="100" a="1"/>
  <c r="E36" i="100" s="1"/>
  <c r="B36" i="100" a="1"/>
  <c r="B36" i="100" s="1"/>
  <c r="I35" i="100" a="1"/>
  <c r="I35" i="100" s="1"/>
  <c r="F35" i="100" a="1"/>
  <c r="F35" i="100" s="1"/>
  <c r="E35" i="100" a="1"/>
  <c r="E35" i="100" s="1"/>
  <c r="B35" i="100" a="1"/>
  <c r="B35" i="100" s="1"/>
  <c r="AB34" i="100" a="1"/>
  <c r="AB34" i="100" s="1"/>
  <c r="Q34" i="100"/>
  <c r="I34" i="100" a="1"/>
  <c r="I34" i="100" s="1"/>
  <c r="F34" i="100" a="1"/>
  <c r="F34" i="100" s="1"/>
  <c r="E34" i="100" a="1"/>
  <c r="E34" i="100" s="1"/>
  <c r="B34" i="100" a="1"/>
  <c r="B34" i="100" s="1"/>
  <c r="AB33" i="100" a="1"/>
  <c r="AB33" i="100" s="1"/>
  <c r="Q33" i="100"/>
  <c r="I33" i="100" a="1"/>
  <c r="I33" i="100" s="1"/>
  <c r="F33" i="100" a="1"/>
  <c r="F33" i="100" s="1"/>
  <c r="E33" i="100" a="1"/>
  <c r="E33" i="100" s="1"/>
  <c r="B33" i="100" a="1"/>
  <c r="B33" i="100" s="1"/>
  <c r="I32" i="100" a="1"/>
  <c r="I32" i="100" s="1"/>
  <c r="F32" i="100" a="1"/>
  <c r="F32" i="100" s="1"/>
  <c r="E32" i="100" a="1"/>
  <c r="E32" i="100" s="1"/>
  <c r="B32" i="100" a="1"/>
  <c r="B32" i="100" s="1"/>
  <c r="I31" i="100" a="1"/>
  <c r="I31" i="100" s="1"/>
  <c r="F31" i="100" a="1"/>
  <c r="F31" i="100" s="1"/>
  <c r="E31" i="100" a="1"/>
  <c r="E31" i="100" s="1"/>
  <c r="B31" i="100" a="1"/>
  <c r="B31" i="100" s="1"/>
  <c r="I30" i="100" a="1"/>
  <c r="I30" i="100" s="1"/>
  <c r="F30" i="100" a="1"/>
  <c r="F30" i="100" s="1"/>
  <c r="E30" i="100" a="1"/>
  <c r="E30" i="100" s="1"/>
  <c r="B30" i="100" a="1"/>
  <c r="B30" i="100" s="1"/>
  <c r="I29" i="100" a="1"/>
  <c r="I29" i="100" s="1"/>
  <c r="F29" i="100" a="1"/>
  <c r="F29" i="100" s="1"/>
  <c r="E29" i="100" a="1"/>
  <c r="E29" i="100" s="1"/>
  <c r="B29" i="100" a="1"/>
  <c r="B29" i="100" s="1"/>
  <c r="I28" i="100" a="1"/>
  <c r="I28" i="100" s="1"/>
  <c r="F28" i="100" a="1"/>
  <c r="F28" i="100" s="1"/>
  <c r="E28" i="100" a="1"/>
  <c r="E28" i="100" s="1"/>
  <c r="B28" i="100" a="1"/>
  <c r="B28" i="100" s="1"/>
  <c r="I27" i="100" a="1"/>
  <c r="I27" i="100" s="1"/>
  <c r="F27" i="100" a="1"/>
  <c r="F27" i="100" s="1"/>
  <c r="E27" i="100" a="1"/>
  <c r="E27" i="100" s="1"/>
  <c r="B27" i="100" a="1"/>
  <c r="B27" i="100" s="1"/>
  <c r="F26" i="100" a="1"/>
  <c r="F26" i="100" s="1"/>
  <c r="E26" i="100" a="1"/>
  <c r="E26" i="100" s="1"/>
  <c r="B26" i="100" a="1"/>
  <c r="B26" i="100" s="1"/>
  <c r="F25" i="100" a="1"/>
  <c r="F25" i="100" s="1"/>
  <c r="E25" i="100" a="1"/>
  <c r="E25" i="100" s="1"/>
  <c r="B25" i="100" a="1"/>
  <c r="B25" i="100" s="1"/>
  <c r="F24" i="100" a="1"/>
  <c r="F24" i="100" s="1"/>
  <c r="E24" i="100" a="1"/>
  <c r="E24" i="100" s="1"/>
  <c r="B24" i="100" a="1"/>
  <c r="B24" i="100" s="1"/>
  <c r="F23" i="100" a="1"/>
  <c r="F23" i="100" s="1"/>
  <c r="E23" i="100" a="1"/>
  <c r="E23" i="100" s="1"/>
  <c r="B23" i="100" a="1"/>
  <c r="B23" i="100" s="1"/>
  <c r="F22" i="100" a="1"/>
  <c r="F22" i="100" s="1"/>
  <c r="E22" i="100" a="1"/>
  <c r="E22" i="100" s="1"/>
  <c r="B22" i="100" a="1"/>
  <c r="B22" i="100" s="1"/>
  <c r="F21" i="100" a="1"/>
  <c r="F21" i="100" s="1"/>
  <c r="E21" i="100" a="1"/>
  <c r="E21" i="100" s="1"/>
  <c r="B21" i="100" a="1"/>
  <c r="B21" i="100" s="1"/>
  <c r="F20" i="100" a="1"/>
  <c r="F20" i="100" s="1"/>
  <c r="E20" i="100" a="1"/>
  <c r="E20" i="100" s="1"/>
  <c r="B20" i="100" a="1"/>
  <c r="B20" i="100" s="1"/>
  <c r="F19" i="100" a="1"/>
  <c r="F19" i="100" s="1"/>
  <c r="E19" i="100" a="1"/>
  <c r="E19" i="100" s="1"/>
  <c r="B19" i="100" a="1"/>
  <c r="B19" i="100" s="1"/>
  <c r="F18" i="100" a="1"/>
  <c r="F18" i="100" s="1"/>
  <c r="E18" i="100" a="1"/>
  <c r="E18" i="100" s="1"/>
  <c r="B18" i="100" a="1"/>
  <c r="B18" i="100" s="1"/>
  <c r="I5" i="100" a="1"/>
  <c r="I5" i="100" s="1"/>
  <c r="B5" i="100" a="1"/>
  <c r="B5" i="100" s="1"/>
  <c r="L14" i="108"/>
  <c r="K14" i="108"/>
  <c r="K13" i="108"/>
  <c r="A4" i="108" a="1"/>
  <c r="B3" i="108" a="1"/>
  <c r="K13" i="112" l="1"/>
  <c r="M13" i="112"/>
  <c r="L13" i="112"/>
  <c r="I12" i="108"/>
  <c r="W12" i="110" a="1"/>
  <c r="W12" i="110" s="1"/>
  <c r="T12" i="108"/>
  <c r="R12" i="110" a="1"/>
  <c r="R12" i="110" s="1"/>
  <c r="Y13" i="112"/>
  <c r="J14" i="110" a="1"/>
  <c r="J14" i="110" s="1"/>
  <c r="J12" i="110" a="1"/>
  <c r="J12" i="110" s="1"/>
  <c r="J12" i="108"/>
  <c r="J13" i="108"/>
  <c r="J14" i="108"/>
  <c r="K15" i="112"/>
  <c r="C12" i="110" a="1"/>
  <c r="C12" i="110" s="1"/>
  <c r="K14" i="112"/>
  <c r="W13" i="110" a="1"/>
  <c r="W13" i="110" s="1"/>
  <c r="Y15" i="112"/>
  <c r="W12" i="108"/>
  <c r="W13" i="108"/>
  <c r="W14" i="110" a="1"/>
  <c r="W14" i="110" s="1"/>
  <c r="W14" i="108"/>
  <c r="AA13" i="112"/>
  <c r="V11" i="108"/>
  <c r="X12" i="112"/>
  <c r="Q6" i="108"/>
  <c r="R7" i="110" a="1"/>
  <c r="R7" i="110" s="1"/>
  <c r="Z12" i="112"/>
  <c r="AE4" i="105" a="1"/>
  <c r="AE4" i="105" s="1"/>
  <c r="T12" i="110" a="1"/>
  <c r="T12" i="110" s="1"/>
  <c r="AB4" i="105" a="1"/>
  <c r="AB4" i="105" s="1"/>
  <c r="Y8" i="105" a="1"/>
  <c r="Y8" i="105" s="1"/>
  <c r="AG8" i="105" a="1"/>
  <c r="AG8" i="105" s="1"/>
  <c r="AH8" i="105" a="1"/>
  <c r="AH8" i="105" s="1"/>
  <c r="AE5" i="105" a="1"/>
  <c r="AE5" i="105" s="1"/>
  <c r="Q12" i="108"/>
  <c r="V14" i="110" a="1"/>
  <c r="V14" i="110" s="1"/>
  <c r="P7" i="110" a="1"/>
  <c r="P7" i="110" s="1"/>
  <c r="AH5" i="105" a="1"/>
  <c r="AH5" i="105" s="1"/>
  <c r="P11" i="108"/>
  <c r="Q14" i="110" a="1"/>
  <c r="Q14" i="110" s="1"/>
  <c r="AA12" i="112"/>
  <c r="Y6" i="105" a="1"/>
  <c r="Y6" i="105" s="1"/>
  <c r="V12" i="108"/>
  <c r="U10" i="108"/>
  <c r="AG6" i="105" a="1"/>
  <c r="AG6" i="105" s="1"/>
  <c r="R10" i="108"/>
  <c r="AH6" i="105" a="1"/>
  <c r="AH6" i="105" s="1"/>
  <c r="V13" i="108"/>
  <c r="R8" i="108"/>
  <c r="V13" i="110" a="1"/>
  <c r="V13" i="110" s="1"/>
  <c r="Z7" i="105" a="1"/>
  <c r="Z7" i="105" s="1"/>
  <c r="P8" i="108"/>
  <c r="S13" i="110" a="1"/>
  <c r="S13" i="110" s="1"/>
  <c r="AC7" i="105" a="1"/>
  <c r="AC7" i="105" s="1"/>
  <c r="Q7" i="108"/>
  <c r="AH7" i="105" a="1"/>
  <c r="AH7" i="105" s="1"/>
  <c r="V14" i="108"/>
  <c r="V12" i="110" a="1"/>
  <c r="V12" i="110" s="1"/>
  <c r="R14" i="108"/>
  <c r="X15" i="112"/>
  <c r="AA8" i="105" a="1"/>
  <c r="AA8" i="105" s="1"/>
  <c r="P14" i="108"/>
  <c r="Z4" i="105" a="1"/>
  <c r="Z4" i="105" s="1"/>
  <c r="AD8" i="105" a="1"/>
  <c r="AD8" i="105" s="1"/>
  <c r="V11" i="110" a="1"/>
  <c r="V11" i="110" s="1"/>
  <c r="T11" i="110" a="1"/>
  <c r="T11" i="110" s="1"/>
  <c r="S10" i="110" a="1"/>
  <c r="S10" i="110" s="1"/>
  <c r="X14" i="112"/>
  <c r="AH4" i="105" a="1"/>
  <c r="AH4" i="105" s="1"/>
  <c r="R13" i="108"/>
  <c r="Q10" i="110" a="1"/>
  <c r="Q10" i="110" s="1"/>
  <c r="P13" i="108"/>
  <c r="Q9" i="110" a="1"/>
  <c r="Q9" i="110" s="1"/>
  <c r="AF8" i="105" a="1"/>
  <c r="AF8" i="105" s="1"/>
  <c r="AB7" i="105" a="1"/>
  <c r="AB7" i="105" s="1"/>
  <c r="X6" i="105" a="1"/>
  <c r="X6" i="105" s="1"/>
  <c r="AG4" i="105" a="1"/>
  <c r="AG4" i="105" s="1"/>
  <c r="AE8" i="105" a="1"/>
  <c r="AE8" i="105" s="1"/>
  <c r="AA7" i="105" a="1"/>
  <c r="AA7" i="105" s="1"/>
  <c r="AF4" i="105" a="1"/>
  <c r="AF4" i="105" s="1"/>
  <c r="AC8" i="105" a="1"/>
  <c r="AC8" i="105" s="1"/>
  <c r="Y7" i="105" a="1"/>
  <c r="Y7" i="105" s="1"/>
  <c r="AG5" i="105" a="1"/>
  <c r="AG5" i="105" s="1"/>
  <c r="AD4" i="105" a="1"/>
  <c r="AD4" i="105" s="1"/>
  <c r="AB8" i="105" a="1"/>
  <c r="AB8" i="105" s="1"/>
  <c r="X7" i="105" a="1"/>
  <c r="X7" i="105" s="1"/>
  <c r="AF5" i="105" a="1"/>
  <c r="AF5" i="105" s="1"/>
  <c r="AC4" i="105" a="1"/>
  <c r="AC4" i="105" s="1"/>
  <c r="Z8" i="105" a="1"/>
  <c r="Z8" i="105" s="1"/>
  <c r="AD5" i="105" a="1"/>
  <c r="AD5" i="105" s="1"/>
  <c r="AA4" i="105" a="1"/>
  <c r="AA4" i="105" s="1"/>
  <c r="X8" i="105" a="1"/>
  <c r="X8" i="105" s="1"/>
  <c r="AF6" i="105" a="1"/>
  <c r="AF6" i="105" s="1"/>
  <c r="AB5" i="105" a="1"/>
  <c r="AB5" i="105" s="1"/>
  <c r="Y4" i="105" a="1"/>
  <c r="Y4" i="105" s="1"/>
  <c r="AE6" i="105" a="1"/>
  <c r="AE6" i="105" s="1"/>
  <c r="AA5" i="105" a="1"/>
  <c r="AA5" i="105" s="1"/>
  <c r="X4" i="105" a="1"/>
  <c r="X4" i="105" s="1"/>
  <c r="AD6" i="105" a="1"/>
  <c r="AD6" i="105" s="1"/>
  <c r="Z5" i="105" a="1"/>
  <c r="Z5" i="105" s="1"/>
  <c r="AG7" i="105" a="1"/>
  <c r="AG7" i="105" s="1"/>
  <c r="AC6" i="105" a="1"/>
  <c r="AC6" i="105" s="1"/>
  <c r="Y5" i="105" a="1"/>
  <c r="Y5" i="105" s="1"/>
  <c r="W3" i="105"/>
  <c r="AF7" i="105" a="1"/>
  <c r="AF7" i="105" s="1"/>
  <c r="AB6" i="105" a="1"/>
  <c r="AB6" i="105" s="1"/>
  <c r="X5" i="105" a="1"/>
  <c r="X5" i="105" s="1"/>
  <c r="O3" i="108"/>
  <c r="O6" i="108" s="1"/>
  <c r="R12" i="108"/>
  <c r="S12" i="108"/>
  <c r="U12" i="108"/>
  <c r="Q14" i="108"/>
  <c r="Q13" i="108"/>
  <c r="S14" i="108"/>
  <c r="Q11" i="108"/>
  <c r="S13" i="108"/>
  <c r="T14" i="108"/>
  <c r="R11" i="108"/>
  <c r="T13" i="108"/>
  <c r="U14" i="108"/>
  <c r="S11" i="108"/>
  <c r="U13" i="108"/>
  <c r="T11" i="108"/>
  <c r="U11" i="108"/>
  <c r="U11" i="110" a="1"/>
  <c r="U11" i="110" s="1"/>
  <c r="T13" i="110" a="1"/>
  <c r="T13" i="110" s="1"/>
  <c r="U13" i="110" a="1"/>
  <c r="U13" i="110" s="1"/>
  <c r="P6" i="110" a="1"/>
  <c r="P6" i="110" s="1"/>
  <c r="T9" i="110" a="1"/>
  <c r="T9" i="110" s="1"/>
  <c r="N4" i="108"/>
  <c r="P10" i="108"/>
  <c r="P7" i="108"/>
  <c r="Q10" i="108"/>
  <c r="R7" i="108"/>
  <c r="S10" i="108"/>
  <c r="T10" i="108"/>
  <c r="Q8" i="108"/>
  <c r="S8" i="108"/>
  <c r="P9" i="108"/>
  <c r="Q9" i="108"/>
  <c r="P5" i="108"/>
  <c r="R9" i="108"/>
  <c r="P5" i="110" a="1"/>
  <c r="P5" i="110" s="1"/>
  <c r="R9" i="110" a="1"/>
  <c r="R9" i="110" s="1"/>
  <c r="S9" i="110" a="1"/>
  <c r="S9" i="110" s="1"/>
  <c r="Z6" i="105" a="1"/>
  <c r="Z6" i="105" s="1"/>
  <c r="AD7" i="105" a="1"/>
  <c r="AD7" i="105" s="1"/>
  <c r="P12" i="108"/>
  <c r="T9" i="108"/>
  <c r="P6" i="108"/>
  <c r="R13" i="110" a="1"/>
  <c r="R13" i="110" s="1"/>
  <c r="S11" i="110" a="1"/>
  <c r="S11" i="110" s="1"/>
  <c r="P9" i="110" a="1"/>
  <c r="P9" i="110" s="1"/>
  <c r="AA6" i="105" a="1"/>
  <c r="AA6" i="105" s="1"/>
  <c r="AE7" i="105" a="1"/>
  <c r="AE7" i="105" s="1"/>
  <c r="S9" i="108"/>
  <c r="Q13" i="110" a="1"/>
  <c r="Q13" i="110" s="1"/>
  <c r="R11" i="110" a="1"/>
  <c r="R11" i="110" s="1"/>
  <c r="P13" i="110" a="1"/>
  <c r="P13" i="110" s="1"/>
  <c r="Q11" i="110" a="1"/>
  <c r="Q11" i="110" s="1"/>
  <c r="S8" i="110" a="1"/>
  <c r="S8" i="110" s="1"/>
  <c r="U14" i="110" a="1"/>
  <c r="U14" i="110" s="1"/>
  <c r="P11" i="110" a="1"/>
  <c r="P11" i="110" s="1"/>
  <c r="R8" i="110" a="1"/>
  <c r="R8" i="110" s="1"/>
  <c r="T14" i="110" a="1"/>
  <c r="T14" i="110" s="1"/>
  <c r="Q8" i="110" a="1"/>
  <c r="Q8" i="110" s="1"/>
  <c r="S14" i="110" a="1"/>
  <c r="S14" i="110" s="1"/>
  <c r="U10" i="110" a="1"/>
  <c r="U10" i="110" s="1"/>
  <c r="P8" i="110" a="1"/>
  <c r="P8" i="110" s="1"/>
  <c r="R14" i="110" a="1"/>
  <c r="R14" i="110" s="1"/>
  <c r="U12" i="110" a="1"/>
  <c r="U12" i="110" s="1"/>
  <c r="T10" i="110" a="1"/>
  <c r="T10" i="110" s="1"/>
  <c r="P14" i="110" a="1"/>
  <c r="P14" i="110" s="1"/>
  <c r="S12" i="110" a="1"/>
  <c r="S12" i="110" s="1"/>
  <c r="R10" i="110" a="1"/>
  <c r="R10" i="110" s="1"/>
  <c r="Q7" i="110" a="1"/>
  <c r="Q7" i="110" s="1"/>
  <c r="Q12" i="110" a="1"/>
  <c r="Q12" i="110" s="1"/>
  <c r="P10" i="110" a="1"/>
  <c r="P10" i="110" s="1"/>
  <c r="P12" i="110" a="1"/>
  <c r="P12" i="110" s="1"/>
  <c r="Q6" i="110" a="1"/>
  <c r="Q6" i="110" s="1"/>
  <c r="D20" i="100" a="1"/>
  <c r="D20" i="100" s="1"/>
  <c r="D75" i="100" a="1"/>
  <c r="D75" i="100" s="1"/>
  <c r="D40" i="100" a="1"/>
  <c r="D40" i="100" s="1"/>
  <c r="D64" i="100" a="1"/>
  <c r="D64" i="100" s="1"/>
  <c r="D28" i="100" a="1"/>
  <c r="D28" i="100" s="1"/>
  <c r="D72" i="100" a="1"/>
  <c r="D72" i="100" s="1"/>
  <c r="D25" i="100" a="1"/>
  <c r="D25" i="100" s="1"/>
  <c r="D35" i="100" a="1"/>
  <c r="D35" i="100" s="1"/>
  <c r="D43" i="100" a="1"/>
  <c r="D43" i="100" s="1"/>
  <c r="D33" i="100" a="1"/>
  <c r="D33" i="100" s="1"/>
  <c r="D51" i="100" a="1"/>
  <c r="D51" i="100" s="1"/>
  <c r="D59" i="100" a="1"/>
  <c r="D59" i="100" s="1"/>
  <c r="D48" i="100" a="1"/>
  <c r="D48" i="100" s="1"/>
  <c r="D67" i="100" a="1"/>
  <c r="D67" i="100" s="1"/>
  <c r="D56" i="100" a="1"/>
  <c r="D56" i="100" s="1"/>
  <c r="I13" i="108"/>
  <c r="I14" i="108"/>
  <c r="I11" i="110" a="1"/>
  <c r="I11" i="110" s="1"/>
  <c r="J14" i="112"/>
  <c r="M3" i="105"/>
  <c r="J15" i="112"/>
  <c r="I14" i="110" a="1"/>
  <c r="I14" i="110" s="1"/>
  <c r="I11" i="108"/>
  <c r="I13" i="110" a="1"/>
  <c r="I13" i="110" s="1"/>
  <c r="I12" i="110" a="1"/>
  <c r="I12" i="110" s="1"/>
  <c r="M12" i="112"/>
  <c r="L12" i="112"/>
  <c r="J12" i="112"/>
  <c r="G14" i="108"/>
  <c r="E12" i="108"/>
  <c r="D36" i="100" a="1"/>
  <c r="D36" i="100" s="1"/>
  <c r="D76" i="100" a="1"/>
  <c r="D76" i="100" s="1"/>
  <c r="C24" i="100" a="1"/>
  <c r="C24" i="100" s="1"/>
  <c r="C34" i="100" a="1"/>
  <c r="C34" i="100" s="1"/>
  <c r="C39" i="100" a="1"/>
  <c r="C39" i="100" s="1"/>
  <c r="C47" i="100" a="1"/>
  <c r="C47" i="100" s="1"/>
  <c r="C55" i="100" a="1"/>
  <c r="C55" i="100" s="1"/>
  <c r="C63" i="100" a="1"/>
  <c r="C63" i="100" s="1"/>
  <c r="C71" i="100" a="1"/>
  <c r="C71" i="100" s="1"/>
  <c r="D44" i="100" a="1"/>
  <c r="D44" i="100" s="1"/>
  <c r="C32" i="100" a="1"/>
  <c r="C32" i="100" s="1"/>
  <c r="D34" i="100" a="1"/>
  <c r="D34" i="100" s="1"/>
  <c r="D39" i="100" a="1"/>
  <c r="D39" i="100" s="1"/>
  <c r="D47" i="100" a="1"/>
  <c r="D47" i="100" s="1"/>
  <c r="D55" i="100" a="1"/>
  <c r="D55" i="100" s="1"/>
  <c r="D63" i="100" a="1"/>
  <c r="D63" i="100" s="1"/>
  <c r="D71" i="100" a="1"/>
  <c r="D71" i="100" s="1"/>
  <c r="C27" i="100" a="1"/>
  <c r="C27" i="100" s="1"/>
  <c r="D32" i="100" a="1"/>
  <c r="D32" i="100" s="1"/>
  <c r="C42" i="100" a="1"/>
  <c r="C42" i="100" s="1"/>
  <c r="C50" i="100" a="1"/>
  <c r="C50" i="100" s="1"/>
  <c r="C58" i="100" a="1"/>
  <c r="C58" i="100" s="1"/>
  <c r="C66" i="100" a="1"/>
  <c r="C66" i="100" s="1"/>
  <c r="C74" i="100" a="1"/>
  <c r="C74" i="100" s="1"/>
  <c r="D21" i="100" a="1"/>
  <c r="D21" i="100" s="1"/>
  <c r="D24" i="100" a="1"/>
  <c r="D24" i="100" s="1"/>
  <c r="C19" i="100" a="1"/>
  <c r="C19" i="100" s="1"/>
  <c r="D19" i="100" a="1"/>
  <c r="D19" i="100" s="1"/>
  <c r="D27" i="100" a="1"/>
  <c r="D27" i="100" s="1"/>
  <c r="D42" i="100" a="1"/>
  <c r="D42" i="100" s="1"/>
  <c r="D50" i="100" a="1"/>
  <c r="D50" i="100" s="1"/>
  <c r="D58" i="100" a="1"/>
  <c r="D58" i="100" s="1"/>
  <c r="D66" i="100" a="1"/>
  <c r="D66" i="100" s="1"/>
  <c r="D74" i="100" a="1"/>
  <c r="D74" i="100" s="1"/>
  <c r="D29" i="100" a="1"/>
  <c r="D29" i="100" s="1"/>
  <c r="D52" i="100" a="1"/>
  <c r="D52" i="100" s="1"/>
  <c r="D68" i="100" a="1"/>
  <c r="D68" i="100" s="1"/>
  <c r="C22" i="100" a="1"/>
  <c r="C22" i="100" s="1"/>
  <c r="C30" i="100" a="1"/>
  <c r="C30" i="100" s="1"/>
  <c r="C37" i="100" a="1"/>
  <c r="C37" i="100" s="1"/>
  <c r="C45" i="100" a="1"/>
  <c r="C45" i="100" s="1"/>
  <c r="C53" i="100" a="1"/>
  <c r="C53" i="100" s="1"/>
  <c r="C61" i="100" a="1"/>
  <c r="C61" i="100" s="1"/>
  <c r="C69" i="100" a="1"/>
  <c r="C69" i="100" s="1"/>
  <c r="C77" i="100" a="1"/>
  <c r="C77" i="100" s="1"/>
  <c r="D60" i="100" a="1"/>
  <c r="D60" i="100" s="1"/>
  <c r="D22" i="100" a="1"/>
  <c r="D22" i="100" s="1"/>
  <c r="D30" i="100" a="1"/>
  <c r="D30" i="100" s="1"/>
  <c r="D37" i="100" a="1"/>
  <c r="D37" i="100" s="1"/>
  <c r="D45" i="100" a="1"/>
  <c r="D45" i="100" s="1"/>
  <c r="D53" i="100" a="1"/>
  <c r="D53" i="100" s="1"/>
  <c r="D61" i="100" a="1"/>
  <c r="D61" i="100" s="1"/>
  <c r="D69" i="100" a="1"/>
  <c r="D69" i="100" s="1"/>
  <c r="D77" i="100" a="1"/>
  <c r="D77" i="100" s="1"/>
  <c r="C25" i="100" a="1"/>
  <c r="C25" i="100" s="1"/>
  <c r="C40" i="100" a="1"/>
  <c r="C40" i="100" s="1"/>
  <c r="C48" i="100" a="1"/>
  <c r="C48" i="100" s="1"/>
  <c r="C56" i="100" a="1"/>
  <c r="C56" i="100" s="1"/>
  <c r="C64" i="100" a="1"/>
  <c r="C64" i="100" s="1"/>
  <c r="C72" i="100" a="1"/>
  <c r="C72" i="100" s="1"/>
  <c r="C20" i="100" a="1"/>
  <c r="C20" i="100" s="1"/>
  <c r="C28" i="100" a="1"/>
  <c r="C28" i="100" s="1"/>
  <c r="C33" i="100" a="1"/>
  <c r="C33" i="100" s="1"/>
  <c r="C35" i="100" a="1"/>
  <c r="C35" i="100" s="1"/>
  <c r="C43" i="100" a="1"/>
  <c r="C43" i="100" s="1"/>
  <c r="C51" i="100" a="1"/>
  <c r="C51" i="100" s="1"/>
  <c r="C59" i="100" a="1"/>
  <c r="C59" i="100" s="1"/>
  <c r="C67" i="100" a="1"/>
  <c r="C67" i="100" s="1"/>
  <c r="C75" i="100" a="1"/>
  <c r="C75" i="100" s="1"/>
  <c r="C23" i="100" a="1"/>
  <c r="C23" i="100" s="1"/>
  <c r="C38" i="100" a="1"/>
  <c r="C38" i="100" s="1"/>
  <c r="C46" i="100" a="1"/>
  <c r="C46" i="100" s="1"/>
  <c r="C54" i="100" a="1"/>
  <c r="C54" i="100" s="1"/>
  <c r="C62" i="100" a="1"/>
  <c r="C62" i="100" s="1"/>
  <c r="C70" i="100" a="1"/>
  <c r="C70" i="100" s="1"/>
  <c r="C31" i="100" a="1"/>
  <c r="C31" i="100" s="1"/>
  <c r="D23" i="100" a="1"/>
  <c r="D23" i="100" s="1"/>
  <c r="D31" i="100" a="1"/>
  <c r="D31" i="100" s="1"/>
  <c r="D38" i="100" a="1"/>
  <c r="D38" i="100" s="1"/>
  <c r="D46" i="100" a="1"/>
  <c r="D46" i="100" s="1"/>
  <c r="D54" i="100" a="1"/>
  <c r="D54" i="100" s="1"/>
  <c r="D62" i="100" a="1"/>
  <c r="D62" i="100" s="1"/>
  <c r="D70" i="100" a="1"/>
  <c r="D70" i="100" s="1"/>
  <c r="C41" i="100" a="1"/>
  <c r="C41" i="100" s="1"/>
  <c r="C49" i="100" a="1"/>
  <c r="C49" i="100" s="1"/>
  <c r="C57" i="100" a="1"/>
  <c r="C57" i="100" s="1"/>
  <c r="C65" i="100" a="1"/>
  <c r="C65" i="100" s="1"/>
  <c r="C73" i="100" a="1"/>
  <c r="C73" i="100" s="1"/>
  <c r="C18" i="100" a="1"/>
  <c r="C18" i="100" s="1"/>
  <c r="C26" i="100" a="1"/>
  <c r="C26" i="100" s="1"/>
  <c r="D18" i="100" a="1"/>
  <c r="D18" i="100" s="1"/>
  <c r="D26" i="100" a="1"/>
  <c r="D26" i="100" s="1"/>
  <c r="D41" i="100" a="1"/>
  <c r="D41" i="100" s="1"/>
  <c r="D49" i="100" a="1"/>
  <c r="D49" i="100" s="1"/>
  <c r="D57" i="100" a="1"/>
  <c r="D57" i="100" s="1"/>
  <c r="D65" i="100" a="1"/>
  <c r="D65" i="100" s="1"/>
  <c r="D73" i="100" a="1"/>
  <c r="D73" i="100" s="1"/>
  <c r="C21" i="100" a="1"/>
  <c r="C21" i="100" s="1"/>
  <c r="C29" i="100" a="1"/>
  <c r="C29" i="100" s="1"/>
  <c r="C36" i="100" a="1"/>
  <c r="C36" i="100" s="1"/>
  <c r="C44" i="100" a="1"/>
  <c r="C44" i="100" s="1"/>
  <c r="C52" i="100" a="1"/>
  <c r="C52" i="100" s="1"/>
  <c r="C60" i="100" a="1"/>
  <c r="C60" i="100" s="1"/>
  <c r="C68" i="100" a="1"/>
  <c r="C68" i="100" s="1"/>
  <c r="C76" i="100" a="1"/>
  <c r="C76" i="100" s="1"/>
  <c r="B3" i="108"/>
  <c r="B14" i="108" s="1"/>
  <c r="G12" i="108"/>
  <c r="H12" i="108"/>
  <c r="C13" i="108"/>
  <c r="D14" i="108"/>
  <c r="E14" i="108"/>
  <c r="F14" i="108"/>
  <c r="C5" i="110" a="1"/>
  <c r="C5" i="110" s="1"/>
  <c r="F11" i="110" a="1"/>
  <c r="F11" i="110" s="1"/>
  <c r="E11" i="110" a="1"/>
  <c r="E11" i="110" s="1"/>
  <c r="C11" i="110" a="1"/>
  <c r="C11" i="110" s="1"/>
  <c r="H14" i="108"/>
  <c r="G9" i="110" a="1"/>
  <c r="G9" i="110" s="1"/>
  <c r="E9" i="110" a="1"/>
  <c r="E9" i="110" s="1"/>
  <c r="H14" i="110" a="1"/>
  <c r="H14" i="110" s="1"/>
  <c r="F8" i="110" a="1"/>
  <c r="F8" i="110" s="1"/>
  <c r="F14" i="110" a="1"/>
  <c r="F14" i="110" s="1"/>
  <c r="D7" i="110" a="1"/>
  <c r="D7" i="110" s="1"/>
  <c r="C11" i="108"/>
  <c r="D13" i="108"/>
  <c r="D14" i="110" a="1"/>
  <c r="D14" i="110" s="1"/>
  <c r="D11" i="108"/>
  <c r="E13" i="108"/>
  <c r="H13" i="110" a="1"/>
  <c r="H13" i="110" s="1"/>
  <c r="E10" i="110" a="1"/>
  <c r="E10" i="110" s="1"/>
  <c r="E11" i="108"/>
  <c r="F13" i="108"/>
  <c r="G13" i="110" a="1"/>
  <c r="G13" i="110" s="1"/>
  <c r="F11" i="108"/>
  <c r="G13" i="108"/>
  <c r="E13" i="110" a="1"/>
  <c r="E13" i="110" s="1"/>
  <c r="C6" i="110" a="1"/>
  <c r="C6" i="110" s="1"/>
  <c r="G11" i="108"/>
  <c r="H13" i="108"/>
  <c r="C13" i="110" a="1"/>
  <c r="C13" i="110" s="1"/>
  <c r="H11" i="108"/>
  <c r="H12" i="110" a="1"/>
  <c r="H12" i="110" s="1"/>
  <c r="G10" i="110" a="1"/>
  <c r="G10" i="110" s="1"/>
  <c r="F12" i="110" a="1"/>
  <c r="F12" i="110" s="1"/>
  <c r="C12" i="108"/>
  <c r="D12" i="110" a="1"/>
  <c r="D12" i="110" s="1"/>
  <c r="D12" i="108"/>
  <c r="G11" i="110" a="1"/>
  <c r="G11" i="110" s="1"/>
  <c r="C10" i="110" a="1"/>
  <c r="C10" i="110" s="1"/>
  <c r="A6" i="100" a="1"/>
  <c r="F8" i="108"/>
  <c r="G9" i="108"/>
  <c r="C6" i="108"/>
  <c r="D8" i="108"/>
  <c r="C9" i="110" a="1"/>
  <c r="C9" i="110" s="1"/>
  <c r="A4" i="108"/>
  <c r="D9" i="108"/>
  <c r="E9" i="108"/>
  <c r="F9" i="108"/>
  <c r="D8" i="110" a="1"/>
  <c r="D8" i="110" s="1"/>
  <c r="C5" i="108"/>
  <c r="C9" i="108"/>
  <c r="C7" i="108"/>
  <c r="F10" i="108"/>
  <c r="C10" i="108"/>
  <c r="D10" i="108"/>
  <c r="B2" i="105"/>
  <c r="B3" i="105" s="1"/>
  <c r="K3" i="105"/>
  <c r="I3" i="105"/>
  <c r="G3" i="105"/>
  <c r="E3" i="105"/>
  <c r="C3" i="105"/>
  <c r="D7" i="108"/>
  <c r="G10" i="108"/>
  <c r="F3" i="105"/>
  <c r="D6" i="108"/>
  <c r="E7" i="108"/>
  <c r="H10" i="108"/>
  <c r="H3" i="105"/>
  <c r="E10" i="108"/>
  <c r="J3" i="105"/>
  <c r="A4" i="110"/>
  <c r="H10" i="110" a="1"/>
  <c r="H10" i="110" s="1"/>
  <c r="F9" i="110" a="1"/>
  <c r="F9" i="110" s="1"/>
  <c r="D6" i="110" a="1"/>
  <c r="D6" i="110" s="1"/>
  <c r="C7" i="110" a="1"/>
  <c r="C7" i="110" s="1"/>
  <c r="D10" i="110" a="1"/>
  <c r="D10" i="110" s="1"/>
  <c r="E7" i="110" a="1"/>
  <c r="E7" i="110" s="1"/>
  <c r="F10" i="110" a="1"/>
  <c r="F10" i="110" s="1"/>
  <c r="C8" i="110" a="1"/>
  <c r="C8" i="110" s="1"/>
  <c r="E8" i="110" a="1"/>
  <c r="E8" i="110" s="1"/>
  <c r="D9" i="110" a="1"/>
  <c r="D9" i="110" s="1"/>
  <c r="C8" i="108"/>
  <c r="L3" i="105"/>
  <c r="E8" i="108"/>
  <c r="F12" i="108"/>
  <c r="C14" i="108"/>
  <c r="C14" i="110" a="1"/>
  <c r="C14" i="110" s="1"/>
  <c r="H11" i="110" a="1"/>
  <c r="H11" i="110" s="1"/>
  <c r="F13" i="110" a="1"/>
  <c r="F13" i="110" s="1"/>
  <c r="D11" i="110" a="1"/>
  <c r="D11" i="110" s="1"/>
  <c r="D13" i="110" a="1"/>
  <c r="D13" i="110" s="1"/>
  <c r="G12" i="110" a="1"/>
  <c r="G12" i="110" s="1"/>
  <c r="G14" i="110" a="1"/>
  <c r="G14" i="110" s="1"/>
  <c r="E12" i="110" a="1"/>
  <c r="E12" i="110" s="1"/>
  <c r="E14" i="110" a="1"/>
  <c r="E14" i="110" s="1"/>
  <c r="V14" i="112"/>
  <c r="U14" i="112"/>
  <c r="W14" i="112"/>
  <c r="W11" i="112"/>
  <c r="T14" i="112"/>
  <c r="H10" i="112"/>
  <c r="D6" i="112"/>
  <c r="AA9" i="112"/>
  <c r="Z8" i="112"/>
  <c r="E15" i="112"/>
  <c r="D15" i="112"/>
  <c r="C15" i="112"/>
  <c r="M8" i="112"/>
  <c r="L8" i="112"/>
  <c r="L7" i="112"/>
  <c r="M11" i="112"/>
  <c r="S7" i="112"/>
  <c r="L11" i="112"/>
  <c r="S14" i="112"/>
  <c r="Z9" i="112"/>
  <c r="AA6" i="112"/>
  <c r="W15" i="112"/>
  <c r="R14" i="112"/>
  <c r="T8" i="112"/>
  <c r="Z6" i="112"/>
  <c r="I14" i="112"/>
  <c r="I11" i="112"/>
  <c r="E7" i="112"/>
  <c r="V15" i="112"/>
  <c r="H14" i="112"/>
  <c r="U15" i="112"/>
  <c r="Q4" i="112"/>
  <c r="G14" i="112"/>
  <c r="M9" i="112"/>
  <c r="T15" i="112"/>
  <c r="AA10" i="112"/>
  <c r="F14" i="112"/>
  <c r="L9" i="112"/>
  <c r="M6" i="112"/>
  <c r="S15" i="112"/>
  <c r="Z10" i="112"/>
  <c r="U9" i="112"/>
  <c r="AA7" i="112"/>
  <c r="E14" i="112"/>
  <c r="F8" i="112"/>
  <c r="L6" i="112"/>
  <c r="R15" i="112"/>
  <c r="Z7" i="112"/>
  <c r="I15" i="112"/>
  <c r="D14" i="112"/>
  <c r="H15" i="112"/>
  <c r="G15" i="112"/>
  <c r="M10" i="112"/>
  <c r="AA11" i="112"/>
  <c r="V10" i="112"/>
  <c r="R6" i="112"/>
  <c r="F15" i="112"/>
  <c r="L10" i="112"/>
  <c r="G9" i="112"/>
  <c r="M7" i="112"/>
  <c r="Z11" i="112"/>
  <c r="AA8" i="112"/>
  <c r="B5" i="112"/>
  <c r="P5" i="112"/>
  <c r="V6" i="105"/>
  <c r="V5" i="105"/>
  <c r="V8" i="105"/>
  <c r="V4" i="105"/>
  <c r="V7" i="105"/>
  <c r="B3" i="110"/>
  <c r="B5" i="110" s="1" a="1"/>
  <c r="B5" i="110" s="1"/>
  <c r="N4" i="110"/>
  <c r="O3" i="110"/>
  <c r="O8" i="110" s="1" a="1"/>
  <c r="O8" i="110" s="1"/>
  <c r="U13" i="112" l="1"/>
  <c r="V13" i="112"/>
  <c r="W13" i="112"/>
  <c r="R13" i="112"/>
  <c r="Y8" i="112"/>
  <c r="AC27" i="105"/>
  <c r="Y9" i="112"/>
  <c r="S13" i="112"/>
  <c r="Y10" i="112"/>
  <c r="Y11" i="112"/>
  <c r="Y7" i="112"/>
  <c r="Y6" i="112"/>
  <c r="Y12" i="112"/>
  <c r="K12" i="112"/>
  <c r="K6" i="112"/>
  <c r="E13" i="112"/>
  <c r="J13" i="112"/>
  <c r="K9" i="112"/>
  <c r="C13" i="112"/>
  <c r="I13" i="112"/>
  <c r="K27" i="105"/>
  <c r="K7" i="112"/>
  <c r="H13" i="112"/>
  <c r="K8" i="112"/>
  <c r="K11" i="112"/>
  <c r="D13" i="112"/>
  <c r="K10" i="112"/>
  <c r="X13" i="112"/>
  <c r="T13" i="112"/>
  <c r="F17" i="100" a="1"/>
  <c r="F17" i="100" s="1"/>
  <c r="E17" i="100" a="1"/>
  <c r="E17" i="100" s="1"/>
  <c r="B17" i="100" a="1"/>
  <c r="B17" i="100" s="1"/>
  <c r="C17" i="100" a="1"/>
  <c r="C17" i="100" s="1"/>
  <c r="D17" i="100" a="1"/>
  <c r="D17" i="100" s="1"/>
  <c r="F16" i="100" a="1"/>
  <c r="F16" i="100" s="1"/>
  <c r="B16" i="100" a="1"/>
  <c r="B16" i="100" s="1"/>
  <c r="E16" i="100" a="1"/>
  <c r="E16" i="100" s="1"/>
  <c r="C16" i="100" a="1"/>
  <c r="C16" i="100" s="1"/>
  <c r="D16" i="100" a="1"/>
  <c r="D16" i="100" s="1"/>
  <c r="F15" i="100" a="1"/>
  <c r="F15" i="100" s="1"/>
  <c r="E15" i="100" a="1"/>
  <c r="E15" i="100" s="1"/>
  <c r="B15" i="100" a="1"/>
  <c r="B15" i="100" s="1"/>
  <c r="D15" i="100" a="1"/>
  <c r="D15" i="100" s="1"/>
  <c r="C15" i="100" a="1"/>
  <c r="C15" i="100" s="1"/>
  <c r="AE9" i="105"/>
  <c r="AB9" i="105"/>
  <c r="AH9" i="105"/>
  <c r="AG9" i="105"/>
  <c r="AD9" i="105"/>
  <c r="AA9" i="105"/>
  <c r="O9" i="108"/>
  <c r="O5" i="108"/>
  <c r="X11" i="112"/>
  <c r="O8" i="108"/>
  <c r="AC9" i="105"/>
  <c r="Y9" i="105"/>
  <c r="AF9" i="105"/>
  <c r="X9" i="105"/>
  <c r="Z9" i="105"/>
  <c r="U12" i="112"/>
  <c r="O7" i="108"/>
  <c r="O4" i="108"/>
  <c r="V12" i="112"/>
  <c r="X8" i="112"/>
  <c r="O6" i="110" a="1"/>
  <c r="O6" i="110" s="1"/>
  <c r="W6" i="105" a="1"/>
  <c r="W6" i="105" s="1"/>
  <c r="W7" i="105" a="1"/>
  <c r="W7" i="105" s="1"/>
  <c r="W8" i="105" a="1"/>
  <c r="W8" i="105" s="1"/>
  <c r="W4" i="105" a="1"/>
  <c r="W4" i="105" s="1"/>
  <c r="W5" i="105" a="1"/>
  <c r="W5" i="105" s="1"/>
  <c r="X10" i="112"/>
  <c r="T12" i="112"/>
  <c r="W12" i="112"/>
  <c r="X9" i="112"/>
  <c r="AB27" i="105"/>
  <c r="O12" i="110" a="1"/>
  <c r="O12" i="110" s="1"/>
  <c r="O10" i="110" a="1"/>
  <c r="O10" i="110" s="1"/>
  <c r="O7" i="110" a="1"/>
  <c r="O7" i="110" s="1"/>
  <c r="O14" i="110" a="1"/>
  <c r="O14" i="110" s="1"/>
  <c r="O11" i="110" a="1"/>
  <c r="O11" i="110" s="1"/>
  <c r="O13" i="110" a="1"/>
  <c r="O13" i="110" s="1"/>
  <c r="O9" i="110" a="1"/>
  <c r="O9" i="110" s="1"/>
  <c r="O5" i="110" a="1"/>
  <c r="O5" i="110" s="1"/>
  <c r="O4" i="110" a="1"/>
  <c r="O4" i="110" s="1"/>
  <c r="X7" i="112"/>
  <c r="R12" i="112"/>
  <c r="O14" i="108"/>
  <c r="O13" i="108"/>
  <c r="O11" i="108"/>
  <c r="O10" i="108"/>
  <c r="O12" i="108"/>
  <c r="X6" i="112"/>
  <c r="S12" i="112"/>
  <c r="B13" i="108"/>
  <c r="B8" i="108"/>
  <c r="B6" i="108"/>
  <c r="B4" i="108"/>
  <c r="B7" i="108"/>
  <c r="B5" i="108"/>
  <c r="B11" i="108"/>
  <c r="B12" i="108"/>
  <c r="B10" i="108"/>
  <c r="B9" i="108"/>
  <c r="J27" i="105"/>
  <c r="C12" i="100" a="1"/>
  <c r="C12" i="100" s="1"/>
  <c r="B12" i="100" a="1"/>
  <c r="B12" i="100" s="1"/>
  <c r="D11" i="100" a="1"/>
  <c r="D11" i="100" s="1"/>
  <c r="F14" i="100" a="1"/>
  <c r="F14" i="100" s="1"/>
  <c r="E11" i="100" a="1"/>
  <c r="E11" i="100" s="1"/>
  <c r="E14" i="100" a="1"/>
  <c r="E14" i="100" s="1"/>
  <c r="D14" i="100" a="1"/>
  <c r="D14" i="100" s="1"/>
  <c r="C11" i="100" a="1"/>
  <c r="C11" i="100" s="1"/>
  <c r="C14" i="100" a="1"/>
  <c r="C14" i="100" s="1"/>
  <c r="B11" i="100" a="1"/>
  <c r="B11" i="100" s="1"/>
  <c r="B14" i="100" a="1"/>
  <c r="B14" i="100" s="1"/>
  <c r="F10" i="100" a="1"/>
  <c r="F10" i="100" s="1"/>
  <c r="F11" i="100" a="1"/>
  <c r="F11" i="100" s="1"/>
  <c r="F13" i="100" a="1"/>
  <c r="F13" i="100" s="1"/>
  <c r="E10" i="100" a="1"/>
  <c r="E10" i="100" s="1"/>
  <c r="D10" i="100" a="1"/>
  <c r="D10" i="100" s="1"/>
  <c r="B13" i="100" a="1"/>
  <c r="B13" i="100" s="1"/>
  <c r="E13" i="100" a="1"/>
  <c r="E13" i="100" s="1"/>
  <c r="C13" i="100" a="1"/>
  <c r="C13" i="100" s="1"/>
  <c r="D13" i="100" a="1"/>
  <c r="D13" i="100" s="1"/>
  <c r="C10" i="100" a="1"/>
  <c r="C10" i="100" s="1"/>
  <c r="B10" i="100" a="1"/>
  <c r="B10" i="100" s="1"/>
  <c r="F12" i="100" a="1"/>
  <c r="F12" i="100" s="1"/>
  <c r="D12" i="100" a="1"/>
  <c r="D12" i="100" s="1"/>
  <c r="E12" i="100" a="1"/>
  <c r="E12" i="100" s="1"/>
  <c r="F9" i="100" a="1"/>
  <c r="F9" i="100" s="1"/>
  <c r="E9" i="100" a="1"/>
  <c r="E9" i="100" s="1"/>
  <c r="D9" i="100" a="1"/>
  <c r="D9" i="100" s="1"/>
  <c r="C9" i="100" a="1"/>
  <c r="C9" i="100" s="1"/>
  <c r="B9" i="100" a="1"/>
  <c r="B9" i="100" s="1"/>
  <c r="C4" i="105" a="1"/>
  <c r="C4" i="105" s="1"/>
  <c r="A6" i="100"/>
  <c r="E8" i="100" a="1"/>
  <c r="E8" i="100" s="1"/>
  <c r="C8" i="100" a="1"/>
  <c r="C8" i="100" s="1"/>
  <c r="F7" i="100" a="1"/>
  <c r="F7" i="100" s="1"/>
  <c r="B7" i="100" a="1"/>
  <c r="B7" i="100" s="1"/>
  <c r="C7" i="100" a="1"/>
  <c r="C7" i="100" s="1"/>
  <c r="B8" i="100" a="1"/>
  <c r="B8" i="100" s="1"/>
  <c r="F8" i="100" a="1"/>
  <c r="F8" i="100" s="1"/>
  <c r="D8" i="100" a="1"/>
  <c r="D8" i="100" s="1"/>
  <c r="E7" i="100" a="1"/>
  <c r="E7" i="100" s="1"/>
  <c r="D7" i="100" a="1"/>
  <c r="D7" i="100" s="1"/>
  <c r="B6" i="110" a="1"/>
  <c r="B6" i="110" s="1"/>
  <c r="B13" i="110" a="1"/>
  <c r="B13" i="110" s="1"/>
  <c r="B11" i="110" a="1"/>
  <c r="B11" i="110" s="1"/>
  <c r="B7" i="110" a="1"/>
  <c r="B7" i="110" s="1"/>
  <c r="B12" i="110" a="1"/>
  <c r="B12" i="110" s="1"/>
  <c r="B8" i="110" a="1"/>
  <c r="B8" i="110" s="1"/>
  <c r="B14" i="110" a="1"/>
  <c r="B14" i="110" s="1"/>
  <c r="B4" i="110" a="1"/>
  <c r="B4" i="110" s="1"/>
  <c r="B9" i="110" a="1"/>
  <c r="B9" i="110" s="1"/>
  <c r="B10" i="110" a="1"/>
  <c r="B10" i="110" s="1"/>
  <c r="W6" i="112"/>
  <c r="R10" i="112"/>
  <c r="T6" i="112"/>
  <c r="T10" i="112"/>
  <c r="U11" i="112"/>
  <c r="W10" i="112"/>
  <c r="U6" i="112"/>
  <c r="T9" i="112"/>
  <c r="S8" i="112"/>
  <c r="T7" i="112"/>
  <c r="R7" i="112"/>
  <c r="V9" i="112"/>
  <c r="R11" i="112"/>
  <c r="W7" i="112"/>
  <c r="U8" i="112"/>
  <c r="U7" i="112"/>
  <c r="S9" i="112"/>
  <c r="T11" i="112"/>
  <c r="V8" i="112"/>
  <c r="V6" i="112"/>
  <c r="Q9" i="112"/>
  <c r="S10" i="112"/>
  <c r="V7" i="112"/>
  <c r="R8" i="112"/>
  <c r="W8" i="112"/>
  <c r="V11" i="112"/>
  <c r="S6" i="112"/>
  <c r="W9" i="112"/>
  <c r="R5" i="112"/>
  <c r="U10" i="112"/>
  <c r="R9" i="112"/>
  <c r="S11" i="112"/>
  <c r="H27" i="105"/>
  <c r="Q11" i="112"/>
  <c r="Y5" i="112"/>
  <c r="X5" i="112"/>
  <c r="W5" i="112"/>
  <c r="AA5" i="112"/>
  <c r="U5" i="112"/>
  <c r="V5" i="112"/>
  <c r="T5" i="112"/>
  <c r="S5" i="112"/>
  <c r="Q5" i="112"/>
  <c r="Z5" i="112"/>
  <c r="Q12" i="112"/>
  <c r="Q15" i="112"/>
  <c r="Q10" i="112"/>
  <c r="Q14" i="112"/>
  <c r="Q13" i="112"/>
  <c r="Q7" i="112"/>
  <c r="M5" i="112"/>
  <c r="C5" i="112"/>
  <c r="L5" i="112"/>
  <c r="K5" i="112"/>
  <c r="Q8" i="112"/>
  <c r="Q6" i="112"/>
  <c r="G27" i="105"/>
  <c r="I27" i="105"/>
  <c r="AA27" i="105"/>
  <c r="Z27" i="105"/>
  <c r="Y27" i="105"/>
  <c r="X27" i="105"/>
  <c r="W27" i="105"/>
  <c r="V27" i="105"/>
  <c r="U27" i="105"/>
  <c r="C27" i="105"/>
  <c r="D27" i="105"/>
  <c r="E27" i="105"/>
  <c r="F27" i="105"/>
  <c r="V9" i="105"/>
  <c r="F13" i="112" l="1"/>
  <c r="G13" i="112"/>
  <c r="D10" i="112"/>
  <c r="W9" i="105"/>
  <c r="V10" i="105" s="1" a="1"/>
  <c r="V10" i="105" s="1"/>
  <c r="J5" i="112"/>
  <c r="F12" i="112"/>
  <c r="D9" i="112"/>
  <c r="E12" i="112"/>
  <c r="H12" i="112"/>
  <c r="G12" i="112"/>
  <c r="J7" i="112"/>
  <c r="J8" i="112"/>
  <c r="J9" i="112"/>
  <c r="I12" i="112"/>
  <c r="J11" i="112"/>
  <c r="J10" i="112"/>
  <c r="C12" i="112"/>
  <c r="J6" i="112"/>
  <c r="D12" i="112"/>
  <c r="G5" i="112"/>
  <c r="F6" i="112"/>
  <c r="D8" i="112"/>
  <c r="D11" i="112"/>
  <c r="G7" i="112"/>
  <c r="D5" i="112"/>
  <c r="D7" i="112"/>
  <c r="F9" i="112"/>
  <c r="F11" i="112"/>
  <c r="G6" i="112"/>
  <c r="F5" i="112"/>
  <c r="H9" i="112"/>
  <c r="C9" i="112"/>
  <c r="C8" i="112"/>
  <c r="C7" i="112"/>
  <c r="G8" i="112"/>
  <c r="C11" i="112"/>
  <c r="F10" i="112"/>
  <c r="F7" i="112"/>
  <c r="C6" i="112"/>
  <c r="G10" i="112"/>
  <c r="C10" i="112"/>
  <c r="G11" i="112"/>
  <c r="I7" i="112"/>
  <c r="H8" i="112"/>
  <c r="H6" i="100" a="1"/>
  <c r="F6" i="100" a="1"/>
  <c r="F6" i="100" s="1"/>
  <c r="E6" i="100" a="1"/>
  <c r="E6" i="100" s="1"/>
  <c r="D6" i="100" a="1"/>
  <c r="D6" i="100" s="1"/>
  <c r="Q32" i="100" s="1"/>
  <c r="C6" i="100" a="1"/>
  <c r="C6" i="100" s="1"/>
  <c r="Q31" i="100" s="1"/>
  <c r="B6" i="100" a="1"/>
  <c r="B6" i="100" s="1"/>
  <c r="Q30" i="100" s="1"/>
  <c r="H7" i="112"/>
  <c r="H11" i="112"/>
  <c r="E8" i="112"/>
  <c r="E11" i="112"/>
  <c r="E9" i="112"/>
  <c r="E6" i="112"/>
  <c r="E10" i="112"/>
  <c r="I6" i="112"/>
  <c r="H5" i="112"/>
  <c r="I5" i="112"/>
  <c r="E5" i="112"/>
  <c r="I10" i="112"/>
  <c r="I9" i="112"/>
  <c r="H6" i="112"/>
  <c r="I8" i="112"/>
  <c r="B5" i="105" l="1"/>
  <c r="I25" i="100" a="1"/>
  <c r="I25" i="100" s="1"/>
  <c r="I26" i="100" a="1"/>
  <c r="I26" i="100" s="1"/>
  <c r="I24" i="100" a="1"/>
  <c r="I24" i="100" s="1"/>
  <c r="I23" i="100" a="1"/>
  <c r="I23" i="100" s="1"/>
  <c r="I22" i="100" a="1"/>
  <c r="I22" i="100" s="1"/>
  <c r="I21" i="100" a="1"/>
  <c r="I21" i="100" s="1"/>
  <c r="I17" i="100" a="1"/>
  <c r="I17" i="100" s="1"/>
  <c r="I20" i="100" a="1"/>
  <c r="I20" i="100" s="1"/>
  <c r="I16" i="100" a="1"/>
  <c r="I16" i="100" s="1"/>
  <c r="I15" i="100" a="1"/>
  <c r="I15" i="100" s="1"/>
  <c r="I19" i="100" a="1"/>
  <c r="I19" i="100" s="1"/>
  <c r="I18" i="100" a="1"/>
  <c r="I18" i="100" s="1"/>
  <c r="I13" i="100" a="1"/>
  <c r="I13" i="100" s="1"/>
  <c r="I14" i="100" a="1"/>
  <c r="I14" i="100" s="1"/>
  <c r="H6" i="100"/>
  <c r="I12" i="100" a="1"/>
  <c r="I12" i="100" s="1"/>
  <c r="I11" i="100" a="1"/>
  <c r="I11" i="100" s="1"/>
  <c r="I10" i="100" a="1"/>
  <c r="I10" i="100" s="1"/>
  <c r="I9" i="100" a="1"/>
  <c r="I9" i="100" s="1"/>
  <c r="I8" i="100" a="1"/>
  <c r="I8" i="100" s="1"/>
  <c r="I7" i="100" a="1"/>
  <c r="I7" i="100" s="1"/>
  <c r="J6" i="100" l="1" a="1"/>
  <c r="J6" i="100" s="1"/>
  <c r="J7" i="100" s="1" a="1"/>
  <c r="J7" i="100" s="1"/>
  <c r="J8" i="100" s="1" a="1"/>
  <c r="J8" i="100" s="1"/>
  <c r="J9" i="100" s="1" a="1"/>
  <c r="J9" i="100" s="1"/>
  <c r="J10" i="100" s="1" a="1"/>
  <c r="J10" i="100" s="1"/>
  <c r="J11" i="100" s="1" a="1"/>
  <c r="J11" i="100" s="1"/>
  <c r="J12" i="100" s="1" a="1"/>
  <c r="J12" i="100" s="1"/>
  <c r="J13" i="100" s="1" a="1"/>
  <c r="J13" i="100" s="1"/>
  <c r="J14" i="100" s="1" a="1"/>
  <c r="J14" i="100" s="1"/>
  <c r="J15" i="100" s="1" a="1"/>
  <c r="J15" i="100" s="1"/>
  <c r="J16" i="100" s="1" a="1"/>
  <c r="J16" i="100" s="1"/>
  <c r="J17" i="100" s="1" a="1"/>
  <c r="J17" i="100" s="1"/>
  <c r="J18" i="100" s="1" a="1"/>
  <c r="J18" i="100" s="1"/>
  <c r="J19" i="100" s="1" a="1"/>
  <c r="J19" i="100" s="1"/>
  <c r="J20" i="100" s="1" a="1"/>
  <c r="J20" i="100" s="1"/>
  <c r="J21" i="100" s="1" a="1"/>
  <c r="J21" i="100" s="1"/>
  <c r="J22" i="100" s="1" a="1"/>
  <c r="J22" i="100" s="1"/>
  <c r="J23" i="100" s="1" a="1"/>
  <c r="J23" i="100" s="1"/>
  <c r="J24" i="100" s="1" a="1"/>
  <c r="J24" i="100" s="1"/>
  <c r="J25" i="100" s="1" a="1"/>
  <c r="J25" i="100" s="1"/>
  <c r="J26" i="100" s="1" a="1"/>
  <c r="J26" i="100" s="1"/>
  <c r="J27" i="100" s="1" a="1"/>
  <c r="J27" i="100" s="1"/>
  <c r="J28" i="100" s="1" a="1"/>
  <c r="J28" i="100" s="1"/>
  <c r="J29" i="100" s="1" a="1"/>
  <c r="J29" i="100" s="1"/>
  <c r="J30" i="100" s="1" a="1"/>
  <c r="J30" i="100" s="1"/>
  <c r="J31" i="100" s="1" a="1"/>
  <c r="J31" i="100" s="1"/>
  <c r="J32" i="100" s="1" a="1"/>
  <c r="J32" i="100" s="1"/>
  <c r="J33" i="100" s="1" a="1"/>
  <c r="J33" i="100" s="1"/>
  <c r="J34" i="100" s="1" a="1"/>
  <c r="J34" i="100" s="1"/>
  <c r="J35" i="100" s="1" a="1"/>
  <c r="J35" i="100" s="1"/>
  <c r="J36" i="100" s="1" a="1"/>
  <c r="J36" i="100" s="1"/>
  <c r="J37" i="100" s="1" a="1"/>
  <c r="J37" i="100" s="1"/>
  <c r="J38" i="100" s="1" a="1"/>
  <c r="J38" i="100" s="1"/>
  <c r="J39" i="100" s="1" a="1"/>
  <c r="J39" i="100" s="1"/>
  <c r="J40" i="100" s="1" a="1"/>
  <c r="J40" i="100" s="1"/>
  <c r="J41" i="100" s="1" a="1"/>
  <c r="J41" i="100" s="1"/>
  <c r="J42" i="100" s="1" a="1"/>
  <c r="J42" i="100" s="1"/>
  <c r="J43" i="100" s="1" a="1"/>
  <c r="J43" i="100" s="1"/>
  <c r="J44" i="100" s="1" a="1"/>
  <c r="J44" i="100" s="1"/>
  <c r="J45" i="100" s="1" a="1"/>
  <c r="J45" i="100" s="1"/>
  <c r="J46" i="100" s="1" a="1"/>
  <c r="J46" i="100" s="1"/>
  <c r="J47" i="100" s="1" a="1"/>
  <c r="J47" i="100" s="1"/>
  <c r="J48" i="100" s="1" a="1"/>
  <c r="J48" i="100" s="1"/>
  <c r="J49" i="100" s="1" a="1"/>
  <c r="J49" i="100" s="1"/>
  <c r="J50" i="100" s="1" a="1"/>
  <c r="J50" i="100" s="1"/>
  <c r="J51" i="100" s="1" a="1"/>
  <c r="J51" i="100" s="1"/>
  <c r="J52" i="100" s="1" a="1"/>
  <c r="J52" i="100" s="1"/>
  <c r="J53" i="100" s="1" a="1"/>
  <c r="J53" i="100" s="1"/>
  <c r="J54" i="100" s="1" a="1"/>
  <c r="J54" i="100" s="1"/>
  <c r="J55" i="100" s="1" a="1"/>
  <c r="J55" i="100" s="1"/>
  <c r="J56" i="100" s="1" a="1"/>
  <c r="J56" i="100" s="1"/>
  <c r="J57" i="100" s="1" a="1"/>
  <c r="J57" i="100" s="1"/>
  <c r="J58" i="100" s="1" a="1"/>
  <c r="J58" i="100" s="1"/>
  <c r="J59" i="100" s="1" a="1"/>
  <c r="J59" i="100" s="1"/>
  <c r="J60" i="100" s="1" a="1"/>
  <c r="J60" i="100" s="1"/>
  <c r="J61" i="100" s="1" a="1"/>
  <c r="J61" i="100" s="1"/>
  <c r="J62" i="100" s="1" a="1"/>
  <c r="J62" i="100" s="1"/>
  <c r="J63" i="100" s="1" a="1"/>
  <c r="J63" i="100" s="1"/>
  <c r="J64" i="100" s="1" a="1"/>
  <c r="J64" i="100" s="1"/>
  <c r="J65" i="100" s="1" a="1"/>
  <c r="J65" i="100" s="1"/>
  <c r="J66" i="100" s="1" a="1"/>
  <c r="J66" i="100" s="1"/>
  <c r="J67" i="100" s="1" a="1"/>
  <c r="J67" i="100" s="1"/>
  <c r="J68" i="100" s="1" a="1"/>
  <c r="J68" i="100" s="1"/>
  <c r="J69" i="100" s="1" a="1"/>
  <c r="J69" i="100" s="1"/>
  <c r="J70" i="100" s="1" a="1"/>
  <c r="J70" i="100" s="1"/>
  <c r="J71" i="100" s="1" a="1"/>
  <c r="J71" i="100" s="1"/>
  <c r="J72" i="100" s="1" a="1"/>
  <c r="J72" i="100" s="1"/>
  <c r="J73" i="100" s="1" a="1"/>
  <c r="J73" i="100" s="1"/>
  <c r="J74" i="100" s="1" a="1"/>
  <c r="J74" i="100" s="1"/>
  <c r="J75" i="100" s="1" a="1"/>
  <c r="J75" i="100" s="1"/>
  <c r="J76" i="100" s="1" a="1"/>
  <c r="J76" i="100" s="1"/>
  <c r="J77" i="100" s="1" a="1"/>
  <c r="J77" i="100" s="1"/>
  <c r="I6" i="100" a="1"/>
  <c r="I6" i="100" s="1"/>
  <c r="AB30" i="100" s="1" a="1"/>
  <c r="AB30" i="100" s="1"/>
  <c r="M6" i="100" a="1"/>
  <c r="M6" i="100" s="1"/>
  <c r="M7" i="100" s="1" a="1"/>
  <c r="M7" i="100" s="1"/>
  <c r="M8" i="100" s="1" a="1"/>
  <c r="M8" i="100" s="1"/>
  <c r="M9" i="100" s="1" a="1"/>
  <c r="M9" i="100" s="1"/>
  <c r="M10" i="100" s="1" a="1"/>
  <c r="M10" i="100" s="1"/>
  <c r="M11" i="100" s="1" a="1"/>
  <c r="M11" i="100" s="1"/>
  <c r="M12" i="100" s="1" a="1"/>
  <c r="M12" i="100" s="1"/>
  <c r="M13" i="100" s="1" a="1"/>
  <c r="M13" i="100" s="1"/>
  <c r="M14" i="100" s="1" a="1"/>
  <c r="M14" i="100" s="1"/>
  <c r="M15" i="100" s="1" a="1"/>
  <c r="M15" i="100" s="1"/>
  <c r="M16" i="100" s="1" a="1"/>
  <c r="M16" i="100" s="1"/>
  <c r="M17" i="100" s="1" a="1"/>
  <c r="M17" i="100" s="1"/>
  <c r="M18" i="100" s="1" a="1"/>
  <c r="M18" i="100" s="1"/>
  <c r="M19" i="100" s="1" a="1"/>
  <c r="M19" i="100" s="1"/>
  <c r="M20" i="100" s="1" a="1"/>
  <c r="M20" i="100" s="1"/>
  <c r="M21" i="100" s="1" a="1"/>
  <c r="M21" i="100" s="1"/>
  <c r="M22" i="100" s="1" a="1"/>
  <c r="M22" i="100" s="1"/>
  <c r="M23" i="100" s="1" a="1"/>
  <c r="M23" i="100" s="1"/>
  <c r="M24" i="100" s="1" a="1"/>
  <c r="M24" i="100" s="1"/>
  <c r="M25" i="100" s="1" a="1"/>
  <c r="M25" i="100" s="1"/>
  <c r="M26" i="100" s="1" a="1"/>
  <c r="M26" i="100" s="1"/>
  <c r="M27" i="100" s="1" a="1"/>
  <c r="M27" i="100" s="1"/>
  <c r="M28" i="100" s="1" a="1"/>
  <c r="M28" i="100" s="1"/>
  <c r="M29" i="100" s="1" a="1"/>
  <c r="M29" i="100" s="1"/>
  <c r="M30" i="100" s="1" a="1"/>
  <c r="M30" i="100" s="1"/>
  <c r="M31" i="100" s="1" a="1"/>
  <c r="M31" i="100" s="1"/>
  <c r="M32" i="100" s="1" a="1"/>
  <c r="M32" i="100" s="1"/>
  <c r="M33" i="100" s="1" a="1"/>
  <c r="M33" i="100" s="1"/>
  <c r="M34" i="100" s="1" a="1"/>
  <c r="M34" i="100" s="1"/>
  <c r="M35" i="100" s="1" a="1"/>
  <c r="M35" i="100" s="1"/>
  <c r="M36" i="100" s="1" a="1"/>
  <c r="M36" i="100" s="1"/>
  <c r="M37" i="100" s="1" a="1"/>
  <c r="M37" i="100" s="1"/>
  <c r="M38" i="100" s="1" a="1"/>
  <c r="M38" i="100" s="1"/>
  <c r="M39" i="100" s="1" a="1"/>
  <c r="M39" i="100" s="1"/>
  <c r="M40" i="100" s="1" a="1"/>
  <c r="M40" i="100" s="1"/>
  <c r="M41" i="100" s="1" a="1"/>
  <c r="M41" i="100" s="1"/>
  <c r="M42" i="100" s="1" a="1"/>
  <c r="M42" i="100" s="1"/>
  <c r="M43" i="100" s="1" a="1"/>
  <c r="M43" i="100" s="1"/>
  <c r="M44" i="100" s="1" a="1"/>
  <c r="M44" i="100" s="1"/>
  <c r="M45" i="100" s="1" a="1"/>
  <c r="M45" i="100" s="1"/>
  <c r="M46" i="100" s="1" a="1"/>
  <c r="M46" i="100" s="1"/>
  <c r="M47" i="100" s="1" a="1"/>
  <c r="M47" i="100" s="1"/>
  <c r="M48" i="100" s="1" a="1"/>
  <c r="M48" i="100" s="1"/>
  <c r="M49" i="100" s="1" a="1"/>
  <c r="M49" i="100" s="1"/>
  <c r="M50" i="100" s="1" a="1"/>
  <c r="M50" i="100" s="1"/>
  <c r="M51" i="100" s="1" a="1"/>
  <c r="M51" i="100" s="1"/>
  <c r="M52" i="100" s="1" a="1"/>
  <c r="M52" i="100" s="1"/>
  <c r="M53" i="100" s="1" a="1"/>
  <c r="M53" i="100" s="1"/>
  <c r="M54" i="100" s="1" a="1"/>
  <c r="M54" i="100" s="1"/>
  <c r="M55" i="100" s="1" a="1"/>
  <c r="M55" i="100" s="1"/>
  <c r="M56" i="100" s="1" a="1"/>
  <c r="M56" i="100" s="1"/>
  <c r="M57" i="100" s="1" a="1"/>
  <c r="M57" i="100" s="1"/>
  <c r="M58" i="100" s="1" a="1"/>
  <c r="M58" i="100" s="1"/>
  <c r="M59" i="100" s="1" a="1"/>
  <c r="M59" i="100" s="1"/>
  <c r="M60" i="100" s="1" a="1"/>
  <c r="M60" i="100" s="1"/>
  <c r="M61" i="100" s="1" a="1"/>
  <c r="M61" i="100" s="1"/>
  <c r="M62" i="100" s="1" a="1"/>
  <c r="M62" i="100" s="1"/>
  <c r="M63" i="100" s="1" a="1"/>
  <c r="M63" i="100" s="1"/>
  <c r="M64" i="100" s="1" a="1"/>
  <c r="M64" i="100" s="1"/>
  <c r="M65" i="100" s="1" a="1"/>
  <c r="M65" i="100" s="1"/>
  <c r="M66" i="100" s="1" a="1"/>
  <c r="M66" i="100" s="1"/>
  <c r="M67" i="100" s="1" a="1"/>
  <c r="M67" i="100" s="1"/>
  <c r="M68" i="100" s="1" a="1"/>
  <c r="M68" i="100" s="1"/>
  <c r="M69" i="100" s="1" a="1"/>
  <c r="M69" i="100" s="1"/>
  <c r="M70" i="100" s="1" a="1"/>
  <c r="M70" i="100" s="1"/>
  <c r="M71" i="100" s="1" a="1"/>
  <c r="M71" i="100" s="1"/>
  <c r="M72" i="100" s="1" a="1"/>
  <c r="M72" i="100" s="1"/>
  <c r="M73" i="100" s="1" a="1"/>
  <c r="M73" i="100" s="1"/>
  <c r="M74" i="100" s="1" a="1"/>
  <c r="M74" i="100" s="1"/>
  <c r="M75" i="100" s="1" a="1"/>
  <c r="M75" i="100" s="1"/>
  <c r="M76" i="100" s="1" a="1"/>
  <c r="M76" i="100" s="1"/>
  <c r="M77" i="100" s="1" a="1"/>
  <c r="M77" i="100" s="1"/>
  <c r="L6" i="100" a="1"/>
  <c r="L6" i="100" s="1"/>
  <c r="L7" i="100" s="1" a="1"/>
  <c r="L7" i="100" s="1"/>
  <c r="L8" i="100" s="1" a="1"/>
  <c r="L8" i="100" s="1"/>
  <c r="L9" i="100" s="1" a="1"/>
  <c r="L9" i="100" s="1"/>
  <c r="L10" i="100" s="1" a="1"/>
  <c r="L10" i="100" s="1"/>
  <c r="L11" i="100" s="1" a="1"/>
  <c r="L11" i="100" s="1"/>
  <c r="L12" i="100" s="1" a="1"/>
  <c r="L12" i="100" s="1"/>
  <c r="L13" i="100" s="1" a="1"/>
  <c r="L13" i="100" s="1"/>
  <c r="L14" i="100" s="1" a="1"/>
  <c r="L14" i="100" s="1"/>
  <c r="L15" i="100" s="1" a="1"/>
  <c r="L15" i="100" s="1"/>
  <c r="L16" i="100" s="1" a="1"/>
  <c r="L16" i="100" s="1"/>
  <c r="L17" i="100" s="1" a="1"/>
  <c r="L17" i="100" s="1"/>
  <c r="L18" i="100" s="1" a="1"/>
  <c r="L18" i="100" s="1"/>
  <c r="L19" i="100" s="1" a="1"/>
  <c r="L19" i="100" s="1"/>
  <c r="L20" i="100" s="1" a="1"/>
  <c r="L20" i="100" s="1"/>
  <c r="L21" i="100" s="1" a="1"/>
  <c r="L21" i="100" s="1"/>
  <c r="L22" i="100" s="1" a="1"/>
  <c r="L22" i="100" s="1"/>
  <c r="L23" i="100" s="1" a="1"/>
  <c r="L23" i="100" s="1"/>
  <c r="L24" i="100" s="1" a="1"/>
  <c r="L24" i="100" s="1"/>
  <c r="L25" i="100" s="1" a="1"/>
  <c r="L25" i="100" s="1"/>
  <c r="L26" i="100" s="1" a="1"/>
  <c r="L26" i="100" s="1"/>
  <c r="L27" i="100" s="1" a="1"/>
  <c r="L27" i="100" s="1"/>
  <c r="L28" i="100" s="1" a="1"/>
  <c r="L28" i="100" s="1"/>
  <c r="L29" i="100" s="1" a="1"/>
  <c r="L29" i="100" s="1"/>
  <c r="L30" i="100" s="1" a="1"/>
  <c r="L30" i="100" s="1"/>
  <c r="L31" i="100" s="1" a="1"/>
  <c r="L31" i="100" s="1"/>
  <c r="L32" i="100" s="1" a="1"/>
  <c r="L32" i="100" s="1"/>
  <c r="L33" i="100" s="1" a="1"/>
  <c r="L33" i="100" s="1"/>
  <c r="L34" i="100" s="1" a="1"/>
  <c r="L34" i="100" s="1"/>
  <c r="L35" i="100" s="1" a="1"/>
  <c r="L35" i="100" s="1"/>
  <c r="L36" i="100" s="1" a="1"/>
  <c r="L36" i="100" s="1"/>
  <c r="L37" i="100" s="1" a="1"/>
  <c r="L37" i="100" s="1"/>
  <c r="L38" i="100" s="1" a="1"/>
  <c r="L38" i="100" s="1"/>
  <c r="L39" i="100" s="1" a="1"/>
  <c r="L39" i="100" s="1"/>
  <c r="L40" i="100" s="1" a="1"/>
  <c r="L40" i="100" s="1"/>
  <c r="L41" i="100" s="1" a="1"/>
  <c r="L41" i="100" s="1"/>
  <c r="L42" i="100" s="1" a="1"/>
  <c r="L42" i="100" s="1"/>
  <c r="L43" i="100" s="1" a="1"/>
  <c r="L43" i="100" s="1"/>
  <c r="L44" i="100" s="1" a="1"/>
  <c r="L44" i="100" s="1"/>
  <c r="L45" i="100" s="1" a="1"/>
  <c r="L45" i="100" s="1"/>
  <c r="L46" i="100" s="1" a="1"/>
  <c r="L46" i="100" s="1"/>
  <c r="L47" i="100" s="1" a="1"/>
  <c r="L47" i="100" s="1"/>
  <c r="L48" i="100" s="1" a="1"/>
  <c r="L48" i="100" s="1"/>
  <c r="L49" i="100" s="1" a="1"/>
  <c r="L49" i="100" s="1"/>
  <c r="L50" i="100" s="1" a="1"/>
  <c r="L50" i="100" s="1"/>
  <c r="L51" i="100" s="1" a="1"/>
  <c r="L51" i="100" s="1"/>
  <c r="L52" i="100" s="1" a="1"/>
  <c r="L52" i="100" s="1"/>
  <c r="L53" i="100" s="1" a="1"/>
  <c r="L53" i="100" s="1"/>
  <c r="L54" i="100" s="1" a="1"/>
  <c r="L54" i="100" s="1"/>
  <c r="L55" i="100" s="1" a="1"/>
  <c r="L55" i="100" s="1"/>
  <c r="L56" i="100" s="1" a="1"/>
  <c r="L56" i="100" s="1"/>
  <c r="L57" i="100" s="1" a="1"/>
  <c r="L57" i="100" s="1"/>
  <c r="L58" i="100" s="1" a="1"/>
  <c r="L58" i="100" s="1"/>
  <c r="L59" i="100" s="1" a="1"/>
  <c r="L59" i="100" s="1"/>
  <c r="L60" i="100" s="1" a="1"/>
  <c r="L60" i="100" s="1"/>
  <c r="L61" i="100" s="1" a="1"/>
  <c r="L61" i="100" s="1"/>
  <c r="L62" i="100" s="1" a="1"/>
  <c r="L62" i="100" s="1"/>
  <c r="L63" i="100" s="1" a="1"/>
  <c r="L63" i="100" s="1"/>
  <c r="L64" i="100" s="1" a="1"/>
  <c r="L64" i="100" s="1"/>
  <c r="L65" i="100" s="1" a="1"/>
  <c r="L65" i="100" s="1"/>
  <c r="L66" i="100" s="1" a="1"/>
  <c r="L66" i="100" s="1"/>
  <c r="L67" i="100" s="1" a="1"/>
  <c r="L67" i="100" s="1"/>
  <c r="L68" i="100" s="1" a="1"/>
  <c r="L68" i="100" s="1"/>
  <c r="L69" i="100" s="1" a="1"/>
  <c r="L69" i="100" s="1"/>
  <c r="L70" i="100" s="1" a="1"/>
  <c r="L70" i="100" s="1"/>
  <c r="L71" i="100" s="1" a="1"/>
  <c r="L71" i="100" s="1"/>
  <c r="L72" i="100" s="1" a="1"/>
  <c r="L72" i="100" s="1"/>
  <c r="L73" i="100" s="1" a="1"/>
  <c r="L73" i="100" s="1"/>
  <c r="L74" i="100" s="1" a="1"/>
  <c r="L74" i="100" s="1"/>
  <c r="L75" i="100" s="1" a="1"/>
  <c r="L75" i="100" s="1"/>
  <c r="L76" i="100" s="1" a="1"/>
  <c r="L76" i="100" s="1"/>
  <c r="L77" i="100" s="1" a="1"/>
  <c r="L77" i="100" s="1"/>
  <c r="K6" i="100" a="1"/>
  <c r="K6" i="100" s="1"/>
  <c r="K7" i="100" s="1" a="1"/>
  <c r="K7" i="100" s="1"/>
  <c r="K8" i="100" s="1" a="1"/>
  <c r="K8" i="100" s="1"/>
  <c r="K9" i="100" s="1" a="1"/>
  <c r="K9" i="100" s="1"/>
  <c r="K10" i="100" s="1" a="1"/>
  <c r="K10" i="100" s="1"/>
  <c r="K11" i="100" s="1" a="1"/>
  <c r="K11" i="100" s="1"/>
  <c r="K12" i="100" s="1" a="1"/>
  <c r="K12" i="100" s="1"/>
  <c r="K13" i="100" s="1" a="1"/>
  <c r="K13" i="100" s="1"/>
  <c r="K14" i="100" s="1" a="1"/>
  <c r="K14" i="100" s="1"/>
  <c r="K15" i="100" s="1" a="1"/>
  <c r="K15" i="100" s="1"/>
  <c r="K16" i="100" s="1" a="1"/>
  <c r="K16" i="100" s="1"/>
  <c r="K17" i="100" s="1" a="1"/>
  <c r="K17" i="100" s="1"/>
  <c r="K18" i="100" s="1" a="1"/>
  <c r="K18" i="100" s="1"/>
  <c r="K19" i="100" s="1" a="1"/>
  <c r="K19" i="100" s="1"/>
  <c r="K20" i="100" s="1" a="1"/>
  <c r="K20" i="100" s="1"/>
  <c r="K21" i="100" s="1" a="1"/>
  <c r="K21" i="100" s="1"/>
  <c r="K22" i="100" s="1" a="1"/>
  <c r="K22" i="100" s="1"/>
  <c r="K23" i="100" s="1" a="1"/>
  <c r="K23" i="100" s="1"/>
  <c r="K24" i="100" s="1" a="1"/>
  <c r="K24" i="100" s="1"/>
  <c r="K25" i="100" s="1" a="1"/>
  <c r="K25" i="100" s="1"/>
  <c r="K26" i="100" s="1" a="1"/>
  <c r="K26" i="100" s="1"/>
  <c r="K27" i="100" s="1" a="1"/>
  <c r="K27" i="100" s="1"/>
  <c r="K28" i="100" s="1" a="1"/>
  <c r="K28" i="100" s="1"/>
  <c r="K29" i="100" s="1" a="1"/>
  <c r="K29" i="100" s="1"/>
  <c r="K30" i="100" s="1" a="1"/>
  <c r="K30" i="100" s="1"/>
  <c r="K31" i="100" s="1" a="1"/>
  <c r="K31" i="100" s="1"/>
  <c r="K32" i="100" s="1" a="1"/>
  <c r="K32" i="100" s="1"/>
  <c r="K33" i="100" s="1" a="1"/>
  <c r="K33" i="100" s="1"/>
  <c r="K34" i="100" s="1" a="1"/>
  <c r="K34" i="100" s="1"/>
  <c r="K35" i="100" s="1" a="1"/>
  <c r="K35" i="100" s="1"/>
  <c r="K36" i="100" s="1" a="1"/>
  <c r="K36" i="100" s="1"/>
  <c r="K37" i="100" s="1" a="1"/>
  <c r="K37" i="100" s="1"/>
  <c r="K38" i="100" s="1" a="1"/>
  <c r="K38" i="100" s="1"/>
  <c r="K39" i="100" s="1" a="1"/>
  <c r="K39" i="100" s="1"/>
  <c r="K40" i="100" s="1" a="1"/>
  <c r="K40" i="100" s="1"/>
  <c r="K41" i="100" s="1" a="1"/>
  <c r="K41" i="100" s="1"/>
  <c r="K42" i="100" s="1" a="1"/>
  <c r="K42" i="100" s="1"/>
  <c r="K43" i="100" s="1" a="1"/>
  <c r="K43" i="100" s="1"/>
  <c r="K44" i="100" s="1" a="1"/>
  <c r="K44" i="100" s="1"/>
  <c r="K45" i="100" s="1" a="1"/>
  <c r="K45" i="100" s="1"/>
  <c r="K46" i="100" s="1" a="1"/>
  <c r="K46" i="100" s="1"/>
  <c r="K47" i="100" s="1" a="1"/>
  <c r="K47" i="100" s="1"/>
  <c r="K48" i="100" s="1" a="1"/>
  <c r="K48" i="100" s="1"/>
  <c r="K49" i="100" s="1" a="1"/>
  <c r="K49" i="100" s="1"/>
  <c r="K50" i="100" s="1" a="1"/>
  <c r="K50" i="100" s="1"/>
  <c r="K51" i="100" s="1" a="1"/>
  <c r="K51" i="100" s="1"/>
  <c r="K52" i="100" s="1" a="1"/>
  <c r="K52" i="100" s="1"/>
  <c r="K53" i="100" s="1" a="1"/>
  <c r="K53" i="100" s="1"/>
  <c r="K54" i="100" s="1" a="1"/>
  <c r="K54" i="100" s="1"/>
  <c r="K55" i="100" s="1" a="1"/>
  <c r="K55" i="100" s="1"/>
  <c r="K56" i="100" s="1" a="1"/>
  <c r="K56" i="100" s="1"/>
  <c r="K57" i="100" s="1" a="1"/>
  <c r="K57" i="100" s="1"/>
  <c r="K58" i="100" s="1" a="1"/>
  <c r="K58" i="100" s="1"/>
  <c r="K59" i="100" s="1" a="1"/>
  <c r="K59" i="100" s="1"/>
  <c r="K60" i="100" s="1" a="1"/>
  <c r="K60" i="100" s="1"/>
  <c r="K61" i="100" s="1" a="1"/>
  <c r="K61" i="100" s="1"/>
  <c r="K62" i="100" s="1" a="1"/>
  <c r="K62" i="100" s="1"/>
  <c r="K63" i="100" s="1" a="1"/>
  <c r="K63" i="100" s="1"/>
  <c r="K64" i="100" s="1" a="1"/>
  <c r="K64" i="100" s="1"/>
  <c r="K65" i="100" s="1" a="1"/>
  <c r="K65" i="100" s="1"/>
  <c r="K66" i="100" s="1" a="1"/>
  <c r="K66" i="100" s="1"/>
  <c r="K67" i="100" s="1" a="1"/>
  <c r="K67" i="100" s="1"/>
  <c r="K68" i="100" s="1" a="1"/>
  <c r="K68" i="100" s="1"/>
  <c r="K69" i="100" s="1" a="1"/>
  <c r="K69" i="100" s="1"/>
  <c r="K70" i="100" s="1" a="1"/>
  <c r="K70" i="100" s="1"/>
  <c r="K71" i="100" s="1" a="1"/>
  <c r="K71" i="100" s="1"/>
  <c r="K72" i="100" s="1" a="1"/>
  <c r="K72" i="100" s="1"/>
  <c r="K73" i="100" s="1" a="1"/>
  <c r="K73" i="100" s="1"/>
  <c r="K74" i="100" s="1" a="1"/>
  <c r="K74" i="100" s="1"/>
  <c r="K75" i="100" s="1" a="1"/>
  <c r="K75" i="100" s="1"/>
  <c r="K76" i="100" s="1" a="1"/>
  <c r="K76" i="100" s="1"/>
  <c r="K77" i="100" s="1" a="1"/>
  <c r="K77" i="100" s="1"/>
  <c r="AB31" i="100" l="1" a="1"/>
  <c r="AB31" i="100" s="1"/>
  <c r="AB32" i="100" a="1"/>
  <c r="AB32" i="10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2978BA-B098-4122-8B42-51801ED4C7E8}" keepAlive="1" name="Query - ClusterNames" description="Connection to the 'ClusterNames' query in the workbook." type="5" refreshedVersion="0" background="1">
    <dbPr connection="Provider=Microsoft.Mashup.OleDb.1;Data Source=$Workbook$;Location=ClusterNames;Extended Properties=&quot;&quot;" command="SELECT * FROM [ClusterNames]"/>
  </connection>
  <connection id="2" xr16:uid="{A60A77F2-900C-4019-A99F-A6CE312485B9}" keepAlive="1" name="Query - HNRP data" description="Connection to the 'HNRP data' query in the workbook." type="5" refreshedVersion="8" background="1" saveData="1">
    <dbPr connection="Provider=Microsoft.Mashup.OleDb.1;Data Source=$Workbook$;Location=&quot;HNRP data&quot;;Extended Properties=&quot;&quot;" command="SELECT * FROM [HNRP 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<sst xmlns="http://schemas.openxmlformats.org/spreadsheetml/2006/main" count="925" uniqueCount="190">
  <si>
    <t>Overall PiN</t>
  </si>
  <si>
    <t>Intersectoral Severity</t>
  </si>
  <si>
    <t>Education</t>
  </si>
  <si>
    <t>Location</t>
  </si>
  <si>
    <t>Populaton</t>
  </si>
  <si>
    <t>Sectoral PiN (Number)</t>
  </si>
  <si>
    <t>Admin 1</t>
  </si>
  <si>
    <t>Admin 1 P-Code</t>
  </si>
  <si>
    <t>Admin 2</t>
  </si>
  <si>
    <t>Admin 2 P-Code</t>
  </si>
  <si>
    <t>Population</t>
  </si>
  <si>
    <t>Population Group</t>
  </si>
  <si>
    <t>CCCM</t>
  </si>
  <si>
    <t>Nutrition</t>
  </si>
  <si>
    <t>Food Security</t>
  </si>
  <si>
    <t>Health</t>
  </si>
  <si>
    <t>Overarching Protection</t>
  </si>
  <si>
    <t>Shelter</t>
  </si>
  <si>
    <t>WASH</t>
  </si>
  <si>
    <t>Preliminary PiN</t>
  </si>
  <si>
    <t>Final PiN</t>
  </si>
  <si>
    <t>Evidence &amp; Comments</t>
  </si>
  <si>
    <t>Select a sector:</t>
  </si>
  <si>
    <t>Graph Bins</t>
  </si>
  <si>
    <t>Notes:</t>
  </si>
  <si>
    <t>percentages are rounded to the nearest 5 multiples, i.e. 0, 5, 10, 15, …</t>
  </si>
  <si>
    <t>Sectoral Severity</t>
  </si>
  <si>
    <t>Humanitarian Conditions/Outcomes</t>
  </si>
  <si>
    <t>Life Threatening</t>
  </si>
  <si>
    <t>Irreversible Harm</t>
  </si>
  <si>
    <t xml:space="preserve">Final Results
</t>
  </si>
  <si>
    <t>Preliminary Intersectoral Severity based on overlap of sectoral deprivations</t>
  </si>
  <si>
    <t>Mortality</t>
  </si>
  <si>
    <t>Malnutrition</t>
  </si>
  <si>
    <t>Epidemics</t>
  </si>
  <si>
    <t>Livelihood Coping</t>
  </si>
  <si>
    <t>HR/IHL Violation</t>
  </si>
  <si>
    <t>Final Severity</t>
  </si>
  <si>
    <t>PiN Correlation Coefficient</t>
  </si>
  <si>
    <t>Severity Correlation Coefficient</t>
  </si>
  <si>
    <t>Sectoral PiN values overlapping at unit level 
(they have a value in the same rounded percentage range)</t>
  </si>
  <si>
    <t>Sectoral severity values overlapping at unit level 
(they have the same severity phase)</t>
  </si>
  <si>
    <t>Sectoral PiN values coming up as highest and second highest at unit level 
(# of units sector A is highest and sector B is second highest)</t>
  </si>
  <si>
    <t>Sectoral Severity phases coming up as highest and second highest at unit level 
(# of units sector A is highest and sector B is second highest)</t>
  </si>
  <si>
    <t>Highest Sectors</t>
  </si>
  <si>
    <t>Second Highest Sectors</t>
  </si>
  <si>
    <t>Severity</t>
  </si>
  <si>
    <t>Adamawa</t>
  </si>
  <si>
    <t>NG002</t>
  </si>
  <si>
    <t>Demsa</t>
  </si>
  <si>
    <t>NG002001</t>
  </si>
  <si>
    <t>Fufore</t>
  </si>
  <si>
    <t>NG002002</t>
  </si>
  <si>
    <t>Ganye</t>
  </si>
  <si>
    <t>NG002003</t>
  </si>
  <si>
    <t>Girei</t>
  </si>
  <si>
    <t>NG002004</t>
  </si>
  <si>
    <t>Gombi</t>
  </si>
  <si>
    <t>NG002005</t>
  </si>
  <si>
    <t>Guyuk</t>
  </si>
  <si>
    <t>NG002006</t>
  </si>
  <si>
    <t>Hong</t>
  </si>
  <si>
    <t>NG002007</t>
  </si>
  <si>
    <t>Jada</t>
  </si>
  <si>
    <t>NG002008</t>
  </si>
  <si>
    <t>Lamurde</t>
  </si>
  <si>
    <t>NG002009</t>
  </si>
  <si>
    <t>Madagali</t>
  </si>
  <si>
    <t>NG002010</t>
  </si>
  <si>
    <t>Maiha</t>
  </si>
  <si>
    <t>NG002011</t>
  </si>
  <si>
    <t>Mayo-Belwa</t>
  </si>
  <si>
    <t>NG002012</t>
  </si>
  <si>
    <t>Michika</t>
  </si>
  <si>
    <t>NG002013</t>
  </si>
  <si>
    <t>Mubi North</t>
  </si>
  <si>
    <t>NG002014</t>
  </si>
  <si>
    <t>Mubi South</t>
  </si>
  <si>
    <t>NG002015</t>
  </si>
  <si>
    <t>Numan</t>
  </si>
  <si>
    <t>NG002016</t>
  </si>
  <si>
    <t>Shelleng</t>
  </si>
  <si>
    <t>NG002017</t>
  </si>
  <si>
    <t>Song</t>
  </si>
  <si>
    <t>NG002018</t>
  </si>
  <si>
    <t>Toungo</t>
  </si>
  <si>
    <t>NG002019</t>
  </si>
  <si>
    <t>Yola North</t>
  </si>
  <si>
    <t>NG002020</t>
  </si>
  <si>
    <t>Yola South</t>
  </si>
  <si>
    <t>NG002021</t>
  </si>
  <si>
    <t>Borno</t>
  </si>
  <si>
    <t>NG008</t>
  </si>
  <si>
    <t>Abadam</t>
  </si>
  <si>
    <t>NG008001</t>
  </si>
  <si>
    <t>Askira/Uba</t>
  </si>
  <si>
    <t>NG008002</t>
  </si>
  <si>
    <t>Bama</t>
  </si>
  <si>
    <t>NG008003</t>
  </si>
  <si>
    <t>Bayo</t>
  </si>
  <si>
    <t>NG008004</t>
  </si>
  <si>
    <t>Biu</t>
  </si>
  <si>
    <t>NG008005</t>
  </si>
  <si>
    <t>Chibok</t>
  </si>
  <si>
    <t>NG008006</t>
  </si>
  <si>
    <t>Damboa</t>
  </si>
  <si>
    <t>NG008007</t>
  </si>
  <si>
    <t>Dikwa</t>
  </si>
  <si>
    <t>NG008008</t>
  </si>
  <si>
    <t>Gubio</t>
  </si>
  <si>
    <t>NG008009</t>
  </si>
  <si>
    <t>Guzamala</t>
  </si>
  <si>
    <t>NG008010</t>
  </si>
  <si>
    <t>Gwoza</t>
  </si>
  <si>
    <t>NG008011</t>
  </si>
  <si>
    <t>Hawul</t>
  </si>
  <si>
    <t>NG008012</t>
  </si>
  <si>
    <t>Jere</t>
  </si>
  <si>
    <t>NG008013</t>
  </si>
  <si>
    <t>Kaga</t>
  </si>
  <si>
    <t>NG008014</t>
  </si>
  <si>
    <t>Kala/Balge</t>
  </si>
  <si>
    <t>NG008015</t>
  </si>
  <si>
    <t>Konduga</t>
  </si>
  <si>
    <t>NG008016</t>
  </si>
  <si>
    <t>Kukawa</t>
  </si>
  <si>
    <t>NG008017</t>
  </si>
  <si>
    <t>Kwaya Kusar</t>
  </si>
  <si>
    <t>NG008018</t>
  </si>
  <si>
    <t>Mafa</t>
  </si>
  <si>
    <t>NG008019</t>
  </si>
  <si>
    <t>Magumeri</t>
  </si>
  <si>
    <t>NG008020</t>
  </si>
  <si>
    <t>Maiduguri</t>
  </si>
  <si>
    <t>NG008021</t>
  </si>
  <si>
    <t>Marte</t>
  </si>
  <si>
    <t>NG008022</t>
  </si>
  <si>
    <t>Mobbar</t>
  </si>
  <si>
    <t>NG008023</t>
  </si>
  <si>
    <t>Monguno</t>
  </si>
  <si>
    <t>NG008024</t>
  </si>
  <si>
    <t>Ngala</t>
  </si>
  <si>
    <t>NG008025</t>
  </si>
  <si>
    <t>Nganzai</t>
  </si>
  <si>
    <t>NG008026</t>
  </si>
  <si>
    <t>Shani</t>
  </si>
  <si>
    <t>NG008027</t>
  </si>
  <si>
    <t>Yobe</t>
  </si>
  <si>
    <t>NG036</t>
  </si>
  <si>
    <t>Bade</t>
  </si>
  <si>
    <t>NG036001</t>
  </si>
  <si>
    <t>Bursari</t>
  </si>
  <si>
    <t>NG036002</t>
  </si>
  <si>
    <t>Damaturu</t>
  </si>
  <si>
    <t>NG036003</t>
  </si>
  <si>
    <t>Fika</t>
  </si>
  <si>
    <t>NG036004</t>
  </si>
  <si>
    <t>Fune</t>
  </si>
  <si>
    <t>NG036005</t>
  </si>
  <si>
    <t>Geidam</t>
  </si>
  <si>
    <t>NG036006</t>
  </si>
  <si>
    <t>Gujba</t>
  </si>
  <si>
    <t>NG036007</t>
  </si>
  <si>
    <t>Gulani</t>
  </si>
  <si>
    <t>NG036008</t>
  </si>
  <si>
    <t>Jakusko</t>
  </si>
  <si>
    <t>NG036009</t>
  </si>
  <si>
    <t>Karasuwa</t>
  </si>
  <si>
    <t>NG036010</t>
  </si>
  <si>
    <t>Machina</t>
  </si>
  <si>
    <t>NG036011</t>
  </si>
  <si>
    <t>Nangere</t>
  </si>
  <si>
    <t>NG036012</t>
  </si>
  <si>
    <t>Nguru</t>
  </si>
  <si>
    <t>NG036013</t>
  </si>
  <si>
    <t>Potiskum</t>
  </si>
  <si>
    <t>NG036014</t>
  </si>
  <si>
    <t>Tarmua</t>
  </si>
  <si>
    <t>NG036015</t>
  </si>
  <si>
    <t>Yunusari</t>
  </si>
  <si>
    <t>NG036016</t>
  </si>
  <si>
    <t>Yusufari</t>
  </si>
  <si>
    <t>NG036017</t>
  </si>
  <si>
    <t>Early Recovery</t>
  </si>
  <si>
    <t>Heath</t>
  </si>
  <si>
    <t>Priority</t>
  </si>
  <si>
    <t>Targeted</t>
  </si>
  <si>
    <t>-</t>
  </si>
  <si>
    <t>Inaccessable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</si>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</sst>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_ * #,##0.00_ ;_ * \-#,##0.00_ ;_ * &quot;-&quot;??_ ;_ @_ "/>
    <numFmt numFmtId="166" formatCode="_-* #,##0_-;\-* #,##0_-;_-* &quot;-&quot;??_-;_-@_-"/>
    <numFmt numFmtId="167" formatCode="_ * #,##0_ ;_ * \-#,##0_ ;_ 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9"/>
      <color theme="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0"/>
      <color theme="1"/>
      <name val="Calibri"/>
      <family val="2"/>
      <scheme val="minor"/>
    </font>
    <font>
      <b/>
      <sz val="11"/>
      <name val="Arial"/>
      <family val="2"/>
    </font>
    <font>
      <sz val="10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8FB6C9"/>
        <bgColor indexed="64"/>
      </patternFill>
    </fill>
    <fill>
      <patternFill patternType="solid">
        <fgColor rgb="FF628FA5"/>
        <bgColor indexed="64"/>
      </patternFill>
    </fill>
    <fill>
      <patternFill patternType="solid">
        <fgColor rgb="FF142538"/>
        <bgColor theme="4"/>
      </patternFill>
    </fill>
    <fill>
      <patternFill patternType="solid">
        <fgColor rgb="FF1E3854"/>
        <bgColor theme="4"/>
      </patternFill>
    </fill>
    <fill>
      <patternFill patternType="solid">
        <fgColor rgb="FF284B70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F98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A7082"/>
        <bgColor indexed="64"/>
      </patternFill>
    </fill>
    <fill>
      <patternFill patternType="solid">
        <fgColor rgb="FF284B70"/>
        <bgColor indexed="64"/>
      </patternFill>
    </fill>
    <fill>
      <patternFill patternType="solid">
        <fgColor rgb="FFAC38DE"/>
        <bgColor indexed="64"/>
      </patternFill>
    </fill>
    <fill>
      <patternFill patternType="solid">
        <fgColor rgb="FFBB0F46"/>
        <bgColor indexed="64"/>
      </patternFill>
    </fill>
    <fill>
      <patternFill patternType="solid">
        <fgColor rgb="FFDF1154"/>
        <bgColor theme="4"/>
      </patternFill>
    </fill>
    <fill>
      <patternFill patternType="solid">
        <fgColor rgb="FFDF1154"/>
        <bgColor indexed="64"/>
      </patternFill>
    </fill>
    <fill>
      <patternFill patternType="solid">
        <fgColor rgb="FF5D903B"/>
        <bgColor indexed="64"/>
      </patternFill>
    </fill>
    <fill>
      <patternFill patternType="solid">
        <fgColor rgb="FF0D39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70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7" fontId="4" fillId="0" borderId="0" xfId="4" applyNumberFormat="1" applyFont="1" applyAlignment="1">
      <alignment wrapText="1"/>
    </xf>
    <xf numFmtId="165" fontId="4" fillId="0" borderId="0" xfId="4" applyFont="1" applyAlignment="1">
      <alignment wrapText="1"/>
    </xf>
    <xf numFmtId="9" fontId="0" fillId="0" borderId="0" xfId="3" applyFont="1"/>
    <xf numFmtId="167" fontId="1" fillId="0" borderId="0" xfId="4" applyNumberFormat="1" applyFont="1" applyAlignment="1">
      <alignment wrapText="1"/>
    </xf>
    <xf numFmtId="167" fontId="0" fillId="0" borderId="0" xfId="4" applyNumberFormat="1" applyFont="1"/>
    <xf numFmtId="167" fontId="0" fillId="0" borderId="0" xfId="4" applyNumberFormat="1" applyFont="1" applyAlignment="1">
      <alignment wrapText="1"/>
    </xf>
    <xf numFmtId="167" fontId="6" fillId="0" borderId="1" xfId="4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167" fontId="9" fillId="0" borderId="1" xfId="4" applyNumberFormat="1" applyFont="1" applyFill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167" fontId="6" fillId="0" borderId="9" xfId="4" applyNumberFormat="1" applyFont="1" applyFill="1" applyBorder="1" applyAlignment="1">
      <alignment horizontal="left" vertical="center" wrapText="1"/>
    </xf>
    <xf numFmtId="167" fontId="6" fillId="0" borderId="9" xfId="4" applyNumberFormat="1" applyFont="1" applyFill="1" applyBorder="1" applyAlignment="1">
      <alignment vertical="center" wrapText="1"/>
    </xf>
    <xf numFmtId="167" fontId="6" fillId="0" borderId="8" xfId="4" applyNumberFormat="1" applyFont="1" applyFill="1" applyBorder="1" applyAlignment="1">
      <alignment horizontal="right" vertical="center" wrapText="1"/>
    </xf>
    <xf numFmtId="166" fontId="7" fillId="0" borderId="8" xfId="0" applyNumberFormat="1" applyFont="1" applyBorder="1" applyAlignment="1">
      <alignment vertical="center" wrapText="1"/>
    </xf>
    <xf numFmtId="166" fontId="5" fillId="10" borderId="10" xfId="2" applyNumberFormat="1" applyFont="1" applyFill="1" applyBorder="1" applyAlignment="1">
      <alignment horizontal="left" vertical="center" wrapText="1"/>
    </xf>
    <xf numFmtId="166" fontId="5" fillId="10" borderId="11" xfId="2" applyNumberFormat="1" applyFont="1" applyFill="1" applyBorder="1" applyAlignment="1">
      <alignment horizontal="left" vertical="center" wrapText="1"/>
    </xf>
    <xf numFmtId="166" fontId="5" fillId="10" borderId="12" xfId="2" applyNumberFormat="1" applyFont="1" applyFill="1" applyBorder="1" applyAlignment="1">
      <alignment horizontal="left" vertical="center" wrapText="1"/>
    </xf>
    <xf numFmtId="167" fontId="7" fillId="0" borderId="15" xfId="4" applyNumberFormat="1" applyFont="1" applyFill="1" applyBorder="1" applyAlignment="1">
      <alignment vertical="center" wrapText="1"/>
    </xf>
    <xf numFmtId="166" fontId="7" fillId="0" borderId="9" xfId="0" applyNumberFormat="1" applyFont="1" applyBorder="1" applyAlignment="1">
      <alignment vertical="center" wrapText="1"/>
    </xf>
    <xf numFmtId="167" fontId="10" fillId="3" borderId="10" xfId="4" applyNumberFormat="1" applyFont="1" applyFill="1" applyBorder="1" applyAlignment="1">
      <alignment horizontal="center" vertical="center" wrapText="1"/>
    </xf>
    <xf numFmtId="167" fontId="10" fillId="3" borderId="11" xfId="4" applyNumberFormat="1" applyFont="1" applyFill="1" applyBorder="1" applyAlignment="1">
      <alignment horizontal="center" vertical="center" wrapText="1"/>
    </xf>
    <xf numFmtId="167" fontId="6" fillId="0" borderId="8" xfId="4" applyNumberFormat="1" applyFont="1" applyFill="1" applyBorder="1" applyAlignment="1">
      <alignment vertical="center" wrapText="1"/>
    </xf>
    <xf numFmtId="166" fontId="13" fillId="9" borderId="24" xfId="2" applyNumberFormat="1" applyFont="1" applyFill="1" applyBorder="1" applyAlignment="1">
      <alignment horizontal="center" vertical="center" wrapText="1"/>
    </xf>
    <xf numFmtId="167" fontId="6" fillId="0" borderId="3" xfId="4" applyNumberFormat="1" applyFont="1" applyFill="1" applyBorder="1" applyAlignment="1">
      <alignment vertical="center" wrapText="1"/>
    </xf>
    <xf numFmtId="0" fontId="4" fillId="0" borderId="0" xfId="0" applyFont="1" applyAlignment="1">
      <alignment horizontal="right" wrapText="1"/>
    </xf>
    <xf numFmtId="9" fontId="0" fillId="0" borderId="0" xfId="3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9" fontId="0" fillId="0" borderId="1" xfId="3" applyFont="1" applyBorder="1" applyAlignment="1">
      <alignment horizontal="center"/>
    </xf>
    <xf numFmtId="167" fontId="6" fillId="0" borderId="1" xfId="4" applyNumberFormat="1" applyFont="1" applyBorder="1" applyAlignment="1">
      <alignment horizontal="left" vertical="center" wrapText="1"/>
    </xf>
    <xf numFmtId="166" fontId="5" fillId="10" borderId="17" xfId="2" applyNumberFormat="1" applyFont="1" applyFill="1" applyBorder="1" applyAlignment="1">
      <alignment horizontal="left" vertical="center" wrapText="1"/>
    </xf>
    <xf numFmtId="0" fontId="16" fillId="0" borderId="0" xfId="0" applyFont="1"/>
    <xf numFmtId="167" fontId="5" fillId="10" borderId="11" xfId="4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166" fontId="5" fillId="10" borderId="11" xfId="2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7" fontId="0" fillId="0" borderId="0" xfId="0" applyNumberFormat="1"/>
    <xf numFmtId="166" fontId="5" fillId="2" borderId="5" xfId="2" applyNumberFormat="1" applyFont="1" applyFill="1" applyBorder="1" applyAlignment="1">
      <alignment horizontal="center" vertical="center" wrapText="1"/>
    </xf>
    <xf numFmtId="167" fontId="10" fillId="3" borderId="20" xfId="4" applyNumberFormat="1" applyFont="1" applyFill="1" applyBorder="1" applyAlignment="1">
      <alignment horizontal="center" vertical="center" wrapText="1"/>
    </xf>
    <xf numFmtId="167" fontId="5" fillId="3" borderId="10" xfId="4" applyNumberFormat="1" applyFont="1" applyFill="1" applyBorder="1" applyAlignment="1">
      <alignment horizontal="center" vertical="center" wrapText="1"/>
    </xf>
    <xf numFmtId="167" fontId="5" fillId="3" borderId="11" xfId="4" applyNumberFormat="1" applyFont="1" applyFill="1" applyBorder="1" applyAlignment="1">
      <alignment horizontal="center" vertical="center" wrapText="1"/>
    </xf>
    <xf numFmtId="167" fontId="5" fillId="3" borderId="12" xfId="4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15" fillId="11" borderId="19" xfId="1" applyFont="1" applyFill="1" applyBorder="1" applyAlignment="1">
      <alignment horizontal="center" vertical="center"/>
    </xf>
    <xf numFmtId="1" fontId="15" fillId="11" borderId="19" xfId="1" applyNumberFormat="1" applyFont="1" applyFill="1" applyBorder="1" applyAlignment="1">
      <alignment horizontal="center" vertical="center"/>
    </xf>
    <xf numFmtId="167" fontId="12" fillId="15" borderId="4" xfId="4" applyNumberFormat="1" applyFont="1" applyFill="1" applyBorder="1" applyAlignment="1">
      <alignment horizontal="center" vertical="center" wrapText="1"/>
    </xf>
    <xf numFmtId="166" fontId="17" fillId="17" borderId="23" xfId="2" applyNumberFormat="1" applyFont="1" applyFill="1" applyBorder="1" applyAlignment="1">
      <alignment horizontal="center" vertical="center" wrapText="1"/>
    </xf>
    <xf numFmtId="166" fontId="15" fillId="17" borderId="24" xfId="2" applyNumberFormat="1" applyFont="1" applyFill="1" applyBorder="1" applyAlignment="1">
      <alignment horizontal="center" vertical="center" wrapText="1"/>
    </xf>
    <xf numFmtId="166" fontId="5" fillId="10" borderId="27" xfId="2" applyNumberFormat="1" applyFont="1" applyFill="1" applyBorder="1" applyAlignment="1">
      <alignment horizontal="center" vertical="center" wrapText="1"/>
    </xf>
    <xf numFmtId="9" fontId="5" fillId="10" borderId="17" xfId="3" applyFont="1" applyFill="1" applyBorder="1" applyAlignment="1">
      <alignment horizontal="left" vertical="center" wrapText="1"/>
    </xf>
    <xf numFmtId="4" fontId="0" fillId="0" borderId="26" xfId="0" applyNumberFormat="1" applyBorder="1"/>
    <xf numFmtId="0" fontId="6" fillId="0" borderId="0" xfId="0" applyFont="1" applyAlignment="1">
      <alignment wrapText="1"/>
    </xf>
    <xf numFmtId="165" fontId="0" fillId="0" borderId="0" xfId="4" applyFont="1" applyAlignment="1">
      <alignment horizontal="center" vertical="center"/>
    </xf>
    <xf numFmtId="0" fontId="0" fillId="0" borderId="0" xfId="0" applyAlignment="1">
      <alignment horizontal="right" vertical="center"/>
    </xf>
    <xf numFmtId="165" fontId="0" fillId="0" borderId="0" xfId="4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29" xfId="0" applyBorder="1"/>
    <xf numFmtId="167" fontId="19" fillId="0" borderId="0" xfId="4" applyNumberFormat="1" applyFont="1" applyAlignment="1">
      <alignment horizontal="center" vertical="center" wrapText="1"/>
    </xf>
    <xf numFmtId="167" fontId="0" fillId="0" borderId="0" xfId="4" applyNumberFormat="1" applyFont="1" applyAlignment="1">
      <alignment horizontal="center" vertical="center" wrapText="1"/>
    </xf>
    <xf numFmtId="167" fontId="5" fillId="10" borderId="10" xfId="4" applyNumberFormat="1" applyFont="1" applyFill="1" applyBorder="1" applyAlignment="1">
      <alignment horizontal="left" vertical="center" wrapText="1"/>
    </xf>
    <xf numFmtId="166" fontId="5" fillId="16" borderId="34" xfId="2" applyNumberFormat="1" applyFont="1" applyFill="1" applyBorder="1" applyAlignment="1">
      <alignment horizontal="center" vertical="center" wrapText="1"/>
    </xf>
    <xf numFmtId="166" fontId="5" fillId="16" borderId="18" xfId="2" applyNumberFormat="1" applyFont="1" applyFill="1" applyBorder="1" applyAlignment="1">
      <alignment horizontal="center" vertical="center" wrapText="1"/>
    </xf>
    <xf numFmtId="167" fontId="12" fillId="15" borderId="8" xfId="4" applyNumberFormat="1" applyFont="1" applyFill="1" applyBorder="1" applyAlignment="1">
      <alignment horizontal="center" vertical="center" wrapText="1"/>
    </xf>
    <xf numFmtId="167" fontId="12" fillId="15" borderId="1" xfId="4" applyNumberFormat="1" applyFont="1" applyFill="1" applyBorder="1" applyAlignment="1">
      <alignment horizontal="center" vertical="center" wrapText="1"/>
    </xf>
    <xf numFmtId="167" fontId="12" fillId="15" borderId="9" xfId="4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7" fontId="6" fillId="18" borderId="1" xfId="4" applyNumberFormat="1" applyFont="1" applyFill="1" applyBorder="1" applyAlignment="1">
      <alignment vertical="center" wrapText="1"/>
    </xf>
    <xf numFmtId="167" fontId="7" fillId="0" borderId="15" xfId="4" applyNumberFormat="1" applyFont="1" applyBorder="1" applyAlignment="1">
      <alignment vertical="center" wrapText="1"/>
    </xf>
    <xf numFmtId="0" fontId="6" fillId="18" borderId="8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left" vertical="center" wrapText="1"/>
    </xf>
    <xf numFmtId="167" fontId="6" fillId="18" borderId="1" xfId="4" applyNumberFormat="1" applyFont="1" applyFill="1" applyBorder="1" applyAlignment="1">
      <alignment horizontal="left" vertical="center" wrapText="1"/>
    </xf>
    <xf numFmtId="167" fontId="6" fillId="18" borderId="9" xfId="4" applyNumberFormat="1" applyFont="1" applyFill="1" applyBorder="1" applyAlignment="1">
      <alignment horizontal="left" vertical="center" wrapText="1"/>
    </xf>
    <xf numFmtId="167" fontId="6" fillId="18" borderId="8" xfId="4" applyNumberFormat="1" applyFont="1" applyFill="1" applyBorder="1" applyAlignment="1">
      <alignment horizontal="right" vertical="center" wrapText="1"/>
    </xf>
    <xf numFmtId="167" fontId="9" fillId="18" borderId="1" xfId="4" applyNumberFormat="1" applyFont="1" applyFill="1" applyBorder="1" applyAlignment="1">
      <alignment vertical="center" wrapText="1"/>
    </xf>
    <xf numFmtId="167" fontId="6" fillId="18" borderId="9" xfId="4" applyNumberFormat="1" applyFont="1" applyFill="1" applyBorder="1" applyAlignment="1">
      <alignment vertical="center" wrapText="1"/>
    </xf>
    <xf numFmtId="167" fontId="6" fillId="18" borderId="8" xfId="4" applyNumberFormat="1" applyFont="1" applyFill="1" applyBorder="1" applyAlignment="1">
      <alignment vertical="center" wrapText="1"/>
    </xf>
    <xf numFmtId="167" fontId="6" fillId="18" borderId="3" xfId="4" applyNumberFormat="1" applyFont="1" applyFill="1" applyBorder="1" applyAlignment="1">
      <alignment vertical="center" wrapText="1"/>
    </xf>
    <xf numFmtId="166" fontId="7" fillId="18" borderId="9" xfId="0" applyNumberFormat="1" applyFont="1" applyFill="1" applyBorder="1" applyAlignment="1">
      <alignment vertical="center" wrapText="1"/>
    </xf>
    <xf numFmtId="0" fontId="0" fillId="18" borderId="0" xfId="0" applyFill="1"/>
    <xf numFmtId="0" fontId="6" fillId="18" borderId="8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166" fontId="7" fillId="18" borderId="1" xfId="4" applyNumberFormat="1" applyFont="1" applyFill="1" applyBorder="1" applyAlignment="1">
      <alignment vertical="center" wrapText="1"/>
    </xf>
    <xf numFmtId="166" fontId="7" fillId="18" borderId="1" xfId="0" applyNumberFormat="1" applyFont="1" applyFill="1" applyBorder="1" applyAlignment="1">
      <alignment vertical="center" wrapText="1"/>
    </xf>
    <xf numFmtId="0" fontId="1" fillId="18" borderId="0" xfId="0" applyFont="1" applyFill="1" applyAlignment="1">
      <alignment wrapText="1"/>
    </xf>
    <xf numFmtId="0" fontId="1" fillId="18" borderId="0" xfId="0" applyFont="1" applyFill="1" applyAlignment="1">
      <alignment horizontal="right" wrapText="1"/>
    </xf>
    <xf numFmtId="165" fontId="1" fillId="18" borderId="0" xfId="4" applyFont="1" applyFill="1" applyAlignment="1">
      <alignment wrapText="1"/>
    </xf>
    <xf numFmtId="167" fontId="1" fillId="18" borderId="0" xfId="4" applyNumberFormat="1" applyFont="1" applyFill="1" applyAlignment="1">
      <alignment wrapText="1"/>
    </xf>
    <xf numFmtId="167" fontId="11" fillId="9" borderId="1" xfId="4" applyNumberFormat="1" applyFont="1" applyFill="1" applyBorder="1" applyAlignment="1">
      <alignment horizontal="center"/>
    </xf>
    <xf numFmtId="166" fontId="14" fillId="8" borderId="1" xfId="2" applyNumberFormat="1" applyFont="1" applyFill="1" applyBorder="1" applyAlignment="1">
      <alignment horizontal="center" vertical="center" wrapText="1"/>
    </xf>
    <xf numFmtId="166" fontId="15" fillId="8" borderId="1" xfId="2" applyNumberFormat="1" applyFont="1" applyFill="1" applyBorder="1" applyAlignment="1">
      <alignment horizontal="center" vertical="center" wrapText="1"/>
    </xf>
    <xf numFmtId="167" fontId="15" fillId="13" borderId="0" xfId="4" applyNumberFormat="1" applyFont="1" applyFill="1" applyBorder="1" applyAlignment="1">
      <alignment horizontal="center" vertical="center" wrapText="1"/>
    </xf>
    <xf numFmtId="167" fontId="12" fillId="15" borderId="37" xfId="4" applyNumberFormat="1" applyFont="1" applyFill="1" applyBorder="1" applyAlignment="1">
      <alignment horizontal="center" vertical="center" wrapText="1"/>
    </xf>
    <xf numFmtId="167" fontId="18" fillId="0" borderId="0" xfId="4" applyNumberFormat="1" applyFont="1" applyBorder="1" applyAlignment="1"/>
    <xf numFmtId="166" fontId="13" fillId="19" borderId="25" xfId="2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7" fontId="6" fillId="0" borderId="8" xfId="4" applyNumberFormat="1" applyFont="1" applyBorder="1" applyAlignment="1">
      <alignment vertical="center" wrapText="1"/>
    </xf>
    <xf numFmtId="167" fontId="6" fillId="0" borderId="1" xfId="4" applyNumberFormat="1" applyFont="1" applyBorder="1" applyAlignment="1">
      <alignment vertical="center" wrapText="1"/>
    </xf>
    <xf numFmtId="167" fontId="9" fillId="0" borderId="1" xfId="4" applyNumberFormat="1" applyFont="1" applyBorder="1" applyAlignment="1">
      <alignment vertical="center" wrapText="1"/>
    </xf>
    <xf numFmtId="166" fontId="7" fillId="0" borderId="3" xfId="4" applyNumberFormat="1" applyFont="1" applyBorder="1" applyAlignment="1">
      <alignment vertical="center" wrapText="1"/>
    </xf>
    <xf numFmtId="166" fontId="7" fillId="0" borderId="2" xfId="0" applyNumberFormat="1" applyFont="1" applyBorder="1" applyAlignment="1">
      <alignment vertical="center" wrapText="1"/>
    </xf>
    <xf numFmtId="167" fontId="5" fillId="3" borderId="27" xfId="4" applyNumberFormat="1" applyFont="1" applyFill="1" applyBorder="1" applyAlignment="1">
      <alignment horizontal="center" vertical="center" wrapText="1"/>
    </xf>
    <xf numFmtId="167" fontId="6" fillId="0" borderId="3" xfId="4" applyNumberFormat="1" applyFont="1" applyFill="1" applyBorder="1" applyAlignment="1">
      <alignment horizontal="right" vertical="center" wrapText="1"/>
    </xf>
    <xf numFmtId="167" fontId="6" fillId="18" borderId="3" xfId="4" applyNumberFormat="1" applyFont="1" applyFill="1" applyBorder="1" applyAlignment="1">
      <alignment horizontal="right" vertical="center" wrapText="1"/>
    </xf>
    <xf numFmtId="167" fontId="6" fillId="0" borderId="3" xfId="4" applyNumberFormat="1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6" fontId="7" fillId="0" borderId="1" xfId="4" applyNumberFormat="1" applyFont="1" applyBorder="1" applyAlignment="1">
      <alignment vertical="center" wrapText="1"/>
    </xf>
    <xf numFmtId="166" fontId="7" fillId="0" borderId="1" xfId="0" applyNumberFormat="1" applyFont="1" applyBorder="1" applyAlignment="1">
      <alignment vertical="center" wrapText="1"/>
    </xf>
    <xf numFmtId="167" fontId="6" fillId="18" borderId="1" xfId="4" applyNumberFormat="1" applyFont="1" applyFill="1" applyBorder="1" applyAlignment="1">
      <alignment wrapText="1"/>
    </xf>
    <xf numFmtId="167" fontId="6" fillId="0" borderId="1" xfId="4" applyNumberFormat="1" applyFont="1" applyBorder="1" applyAlignment="1">
      <alignment wrapText="1"/>
    </xf>
    <xf numFmtId="167" fontId="6" fillId="18" borderId="5" xfId="4" applyNumberFormat="1" applyFont="1" applyFill="1" applyBorder="1" applyAlignment="1">
      <alignment wrapText="1"/>
    </xf>
    <xf numFmtId="167" fontId="6" fillId="0" borderId="6" xfId="4" applyNumberFormat="1" applyFont="1" applyBorder="1" applyAlignment="1">
      <alignment wrapText="1"/>
    </xf>
    <xf numFmtId="166" fontId="7" fillId="18" borderId="0" xfId="0" applyNumberFormat="1" applyFont="1" applyFill="1" applyAlignment="1">
      <alignment vertical="center" wrapText="1"/>
    </xf>
    <xf numFmtId="0" fontId="0" fillId="20" borderId="0" xfId="0" applyFill="1"/>
    <xf numFmtId="166" fontId="19" fillId="20" borderId="0" xfId="0" applyNumberFormat="1" applyFont="1" applyFill="1"/>
    <xf numFmtId="1" fontId="7" fillId="18" borderId="28" xfId="3" applyNumberFormat="1" applyFont="1" applyFill="1" applyBorder="1" applyAlignment="1">
      <alignment vertical="center" wrapText="1"/>
    </xf>
    <xf numFmtId="166" fontId="14" fillId="8" borderId="0" xfId="2" applyNumberFormat="1" applyFont="1" applyFill="1" applyBorder="1" applyAlignment="1">
      <alignment horizontal="center" vertical="center" wrapText="1"/>
    </xf>
    <xf numFmtId="166" fontId="15" fillId="8" borderId="5" xfId="2" applyNumberFormat="1" applyFont="1" applyFill="1" applyBorder="1" applyAlignment="1">
      <alignment horizontal="center" vertical="center" wrapText="1"/>
    </xf>
    <xf numFmtId="0" fontId="6" fillId="21" borderId="8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6" fillId="21" borderId="1" xfId="0" applyFont="1" applyFill="1" applyBorder="1" applyAlignment="1">
      <alignment horizontal="left" vertical="center" wrapText="1"/>
    </xf>
    <xf numFmtId="167" fontId="6" fillId="21" borderId="1" xfId="4" applyNumberFormat="1" applyFont="1" applyFill="1" applyBorder="1" applyAlignment="1">
      <alignment horizontal="left" vertical="center" wrapText="1"/>
    </xf>
    <xf numFmtId="167" fontId="6" fillId="22" borderId="1" xfId="4" applyNumberFormat="1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167" fontId="6" fillId="0" borderId="8" xfId="6" applyNumberFormat="1" applyFont="1" applyFill="1" applyBorder="1" applyAlignment="1">
      <alignment horizontal="center" vertical="center" wrapText="1"/>
    </xf>
    <xf numFmtId="167" fontId="6" fillId="0" borderId="1" xfId="4" applyNumberFormat="1" applyFont="1" applyFill="1" applyBorder="1" applyAlignment="1">
      <alignment horizontal="left" vertical="center" wrapText="1"/>
    </xf>
    <xf numFmtId="167" fontId="6" fillId="0" borderId="1" xfId="4" applyNumberFormat="1" applyFont="1" applyFill="1" applyBorder="1" applyAlignment="1">
      <alignment wrapText="1"/>
    </xf>
    <xf numFmtId="166" fontId="7" fillId="0" borderId="1" xfId="4" applyNumberFormat="1" applyFont="1" applyFill="1" applyBorder="1" applyAlignment="1">
      <alignment vertical="center" wrapText="1"/>
    </xf>
    <xf numFmtId="1" fontId="7" fillId="0" borderId="28" xfId="3" applyNumberFormat="1" applyFont="1" applyFill="1" applyBorder="1" applyAlignment="1">
      <alignment vertical="center" wrapText="1"/>
    </xf>
    <xf numFmtId="166" fontId="7" fillId="0" borderId="0" xfId="0" applyNumberFormat="1" applyFont="1" applyAlignment="1">
      <alignment vertical="center" wrapText="1"/>
    </xf>
    <xf numFmtId="165" fontId="4" fillId="0" borderId="0" xfId="4" applyFont="1" applyFill="1" applyAlignment="1">
      <alignment wrapText="1"/>
    </xf>
    <xf numFmtId="167" fontId="4" fillId="0" borderId="0" xfId="4" applyNumberFormat="1" applyFont="1" applyFill="1" applyAlignment="1">
      <alignment wrapText="1"/>
    </xf>
    <xf numFmtId="167" fontId="13" fillId="19" borderId="33" xfId="4" applyNumberFormat="1" applyFont="1" applyFill="1" applyBorder="1" applyAlignment="1">
      <alignment horizontal="center" vertical="center" wrapText="1"/>
    </xf>
    <xf numFmtId="167" fontId="13" fillId="19" borderId="36" xfId="4" applyNumberFormat="1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horizontal="center" vertical="center" wrapText="1"/>
    </xf>
    <xf numFmtId="0" fontId="10" fillId="5" borderId="7" xfId="1" applyFont="1" applyFill="1" applyBorder="1" applyAlignment="1">
      <alignment horizontal="center" vertical="center" wrapText="1"/>
    </xf>
    <xf numFmtId="166" fontId="14" fillId="8" borderId="1" xfId="2" applyNumberFormat="1" applyFont="1" applyFill="1" applyBorder="1" applyAlignment="1">
      <alignment horizontal="center" vertical="center" wrapText="1"/>
    </xf>
    <xf numFmtId="167" fontId="10" fillId="6" borderId="7" xfId="4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15" fillId="16" borderId="21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>
      <alignment horizontal="center" vertical="center" wrapText="1"/>
    </xf>
    <xf numFmtId="0" fontId="15" fillId="5" borderId="13" xfId="1" applyFont="1" applyFill="1" applyBorder="1" applyAlignment="1">
      <alignment horizontal="center" vertical="center" wrapText="1"/>
    </xf>
    <xf numFmtId="0" fontId="15" fillId="5" borderId="14" xfId="1" applyFont="1" applyFill="1" applyBorder="1" applyAlignment="1">
      <alignment horizontal="center" vertical="center" wrapText="1"/>
    </xf>
    <xf numFmtId="167" fontId="15" fillId="12" borderId="16" xfId="4" applyNumberFormat="1" applyFont="1" applyFill="1" applyBorder="1" applyAlignment="1">
      <alignment horizontal="center" vertical="center" wrapText="1"/>
    </xf>
    <xf numFmtId="167" fontId="15" fillId="14" borderId="35" xfId="4" applyNumberFormat="1" applyFont="1" applyFill="1" applyBorder="1" applyAlignment="1">
      <alignment horizontal="center" vertical="center" wrapText="1"/>
    </xf>
    <xf numFmtId="167" fontId="15" fillId="14" borderId="30" xfId="4" applyNumberFormat="1" applyFont="1" applyFill="1" applyBorder="1" applyAlignment="1">
      <alignment horizontal="center" vertical="center" wrapText="1"/>
    </xf>
    <xf numFmtId="167" fontId="15" fillId="14" borderId="31" xfId="4" applyNumberFormat="1" applyFont="1" applyFill="1" applyBorder="1" applyAlignment="1">
      <alignment horizontal="center" vertical="center" wrapText="1"/>
    </xf>
    <xf numFmtId="167" fontId="15" fillId="13" borderId="16" xfId="4" applyNumberFormat="1" applyFont="1" applyFill="1" applyBorder="1" applyAlignment="1">
      <alignment horizontal="center" vertical="center" wrapText="1"/>
    </xf>
    <xf numFmtId="0" fontId="15" fillId="4" borderId="13" xfId="1" applyFont="1" applyFill="1" applyBorder="1" applyAlignment="1">
      <alignment horizontal="center" vertical="center" wrapText="1"/>
    </xf>
    <xf numFmtId="0" fontId="15" fillId="4" borderId="19" xfId="1" applyFont="1" applyFill="1" applyBorder="1" applyAlignment="1">
      <alignment horizontal="center" vertical="center" wrapText="1"/>
    </xf>
    <xf numFmtId="167" fontId="20" fillId="14" borderId="32" xfId="4" applyNumberFormat="1" applyFont="1" applyFill="1" applyBorder="1" applyAlignment="1">
      <alignment horizontal="center" vertical="center" wrapText="1"/>
    </xf>
    <xf numFmtId="167" fontId="20" fillId="14" borderId="36" xfId="4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67" fontId="19" fillId="0" borderId="0" xfId="4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textRotation="90" wrapText="1"/>
    </xf>
    <xf numFmtId="0" fontId="19" fillId="0" borderId="29" xfId="0" applyFont="1" applyBorder="1" applyAlignment="1">
      <alignment horizontal="center" vertical="center" textRotation="90" wrapText="1"/>
    </xf>
  </cellXfs>
  <cellStyles count="7">
    <cellStyle name="Comma" xfId="4" builtinId="3"/>
    <cellStyle name="Comma [0]" xfId="6" builtinId="6"/>
    <cellStyle name="Comma 2" xfId="2" xr:uid="{5D38CDC1-E85E-41E9-9606-1CCEEB01D8F0}"/>
    <cellStyle name="Normal" xfId="0" builtinId="0"/>
    <cellStyle name="Normal 2" xfId="1" xr:uid="{302DEB05-DCF2-4BA3-83E1-73B661067522}"/>
    <cellStyle name="Percent" xfId="3" builtinId="5"/>
    <cellStyle name="Percent 2" xfId="5" xr:uid="{FD1A6169-9F19-48BF-8E96-E95C4B0D624C}"/>
  </cellStyles>
  <dxfs count="9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628FA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628FA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628FA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628FA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628FA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628FA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628FA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628FA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628FA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628FA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628FA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628FA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9999"/>
        </patternFill>
      </fill>
    </dxf>
    <dxf>
      <numFmt numFmtId="167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numFmt numFmtId="166" formatCode="_-* #,##0_-;\-* #,##0_-;_-* &quot;-&quot;??_-;_-@_-"/>
      <fill>
        <patternFill patternType="solid">
          <fgColor indexed="64"/>
          <bgColor rgb="FF8FB6C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ck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numFmt numFmtId="166" formatCode="_-* #,##0_-;\-* #,##0_-;_-* &quot;-&quot;??_-;_-@_-"/>
      <fill>
        <patternFill patternType="solid">
          <fgColor indexed="64"/>
          <bgColor rgb="FF8FB6C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BDD7EE"/>
      <color rgb="FF628FA5"/>
      <color rgb="FF0D39C8"/>
      <color rgb="FFAD7BE9"/>
      <color rgb="FF5D903B"/>
      <color rgb="FFDC9100"/>
      <color rgb="FFFFAA04"/>
      <color rgb="FFDF1154"/>
      <color rgb="FFBB0F4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% Overall PiN of all units of analyses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343815957912944E-2"/>
          <c:y val="0.11097642612245212"/>
          <c:w val="0.91309876290644332"/>
          <c:h val="0.707403141434948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'PiN Visuals'!$B$5</c:f>
              <c:strCache>
                <c:ptCount val="1"/>
                <c:pt idx="0">
                  <c:v> -   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'PiN Visuals'!$A$6:$A$77</c:f>
              <c:numCache>
                <c:formatCode>0%</c:formatCode>
                <c:ptCount val="72"/>
                <c:pt idx="0">
                  <c:v>0</c:v>
                </c:pt>
              </c:numCache>
            </c:numRef>
          </c:xVal>
          <c:yVal>
            <c:numRef>
              <c:f>'PiN Visuals'!$B$6:$B$77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80-477A-B4EC-4E1DFDC086E8}"/>
            </c:ext>
          </c:extLst>
        </c:ser>
        <c:ser>
          <c:idx val="2"/>
          <c:order val="1"/>
          <c:tx>
            <c:strRef>
              <c:f>'PiN Visuals'!$C$5</c:f>
              <c:strCache>
                <c:ptCount val="1"/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'PiN Visuals'!$A$6:$A$77</c:f>
              <c:numCache>
                <c:formatCode>0%</c:formatCode>
                <c:ptCount val="72"/>
                <c:pt idx="0">
                  <c:v>0</c:v>
                </c:pt>
              </c:numCache>
            </c:numRef>
          </c:xVal>
          <c:yVal>
            <c:numRef>
              <c:f>'PiN Visuals'!$C$6:$C$77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80-477A-B4EC-4E1DFDC086E8}"/>
            </c:ext>
          </c:extLst>
        </c:ser>
        <c:ser>
          <c:idx val="3"/>
          <c:order val="2"/>
          <c:tx>
            <c:strRef>
              <c:f>'PiN Visuals'!$D$5</c:f>
              <c:strCache>
                <c:ptCount val="1"/>
              </c:strCache>
              <c:extLst xmlns:c15="http://schemas.microsoft.com/office/drawing/2012/chart"/>
            </c:strRef>
          </c:tx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'PiN Visuals'!$A$6:$A$77</c:f>
              <c:numCache>
                <c:formatCode>0%</c:formatCode>
                <c:ptCount val="72"/>
                <c:pt idx="0">
                  <c:v>0</c:v>
                </c:pt>
              </c:numCache>
            </c:numRef>
          </c:xVal>
          <c:yVal>
            <c:numRef>
              <c:f>'PiN Visuals'!$D$6:$D$16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6380-477A-B4EC-4E1DFDC086E8}"/>
            </c:ext>
          </c:extLst>
        </c:ser>
        <c:ser>
          <c:idx val="4"/>
          <c:order val="3"/>
          <c:tx>
            <c:strRef>
              <c:f>'PiN Visuals'!$E$5</c:f>
              <c:strCache>
                <c:ptCount val="1"/>
              </c:strCache>
              <c:extLst xmlns:c15="http://schemas.microsoft.com/office/drawing/2012/chart"/>
            </c:strRef>
          </c:tx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'PiN Visuals'!$A$6:$A$77</c:f>
              <c:numCache>
                <c:formatCode>0%</c:formatCode>
                <c:ptCount val="72"/>
                <c:pt idx="0">
                  <c:v>0</c:v>
                </c:pt>
              </c:numCache>
            </c:numRef>
          </c:xVal>
          <c:yVal>
            <c:numRef>
              <c:f>'PiN Visuals'!$E$6:$E$16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6380-477A-B4EC-4E1DFDC086E8}"/>
            </c:ext>
          </c:extLst>
        </c:ser>
        <c:ser>
          <c:idx val="5"/>
          <c:order val="4"/>
          <c:tx>
            <c:strRef>
              <c:f>'PiN Visuals'!$F$5</c:f>
              <c:strCache>
                <c:ptCount val="1"/>
              </c:strCache>
              <c:extLst xmlns:c15="http://schemas.microsoft.com/office/drawing/2012/chart"/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'PiN Visuals'!$A$6:$A$77</c:f>
              <c:numCache>
                <c:formatCode>0%</c:formatCode>
                <c:ptCount val="72"/>
                <c:pt idx="0">
                  <c:v>0</c:v>
                </c:pt>
              </c:numCache>
            </c:numRef>
          </c:xVal>
          <c:yVal>
            <c:numRef>
              <c:f>'PiN Visuals'!$F$6:$F$16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6380-477A-B4EC-4E1DFDC08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040799"/>
        <c:axId val="278042463"/>
        <c:extLst/>
      </c:scatterChart>
      <c:valAx>
        <c:axId val="27804079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of PiN</a:t>
                </a:r>
              </a:p>
            </c:rich>
          </c:tx>
          <c:layout>
            <c:manualLayout>
              <c:xMode val="edge"/>
              <c:yMode val="edge"/>
              <c:x val="0.49175580174378231"/>
              <c:y val="0.880219745811336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8042463"/>
        <c:crosses val="autoZero"/>
        <c:crossBetween val="midCat"/>
      </c:valAx>
      <c:valAx>
        <c:axId val="278042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# of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8040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PiN change between last year's HNO and this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0825232981477146E-2"/>
          <c:y val="0.11371445255421546"/>
          <c:w val="0.91332920504981796"/>
          <c:h val="0.6603024063559411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'PiN Visuals'!$I$5</c:f>
              <c:strCache>
                <c:ptCount val="1"/>
                <c:pt idx="0">
                  <c:v> #REF! 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'PiN Visuals'!$H$6:$H$31</c:f>
              <c:numCache>
                <c:formatCode>0%</c:formatCode>
                <c:ptCount val="26"/>
                <c:pt idx="0">
                  <c:v>0</c:v>
                </c:pt>
              </c:numCache>
            </c:numRef>
          </c:xVal>
          <c:yVal>
            <c:numRef>
              <c:f>'PiN Visuals'!$I$6:$I$31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8B-4DE1-B8B7-29F662A9504D}"/>
            </c:ext>
          </c:extLst>
        </c:ser>
        <c:ser>
          <c:idx val="1"/>
          <c:order val="1"/>
          <c:tx>
            <c:strRef>
              <c:f>'PiN Visuals'!$J$5</c:f>
              <c:strCache>
                <c:ptCount val="1"/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'PiN Visuals'!$H$6:$H$31</c:f>
              <c:numCache>
                <c:formatCode>0%</c:formatCode>
                <c:ptCount val="26"/>
                <c:pt idx="0">
                  <c:v>0</c:v>
                </c:pt>
              </c:numCache>
            </c:numRef>
          </c:xVal>
          <c:yVal>
            <c:numRef>
              <c:f>'PiN Visuals'!$J$6:$J$31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8B-4DE1-B8B7-29F662A9504D}"/>
            </c:ext>
          </c:extLst>
        </c:ser>
        <c:ser>
          <c:idx val="2"/>
          <c:order val="2"/>
          <c:tx>
            <c:strRef>
              <c:f>'PiN Visuals'!$K$5</c:f>
              <c:strCache>
                <c:ptCount val="1"/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'PiN Visuals'!$H$6:$H$31</c:f>
              <c:numCache>
                <c:formatCode>0%</c:formatCode>
                <c:ptCount val="26"/>
                <c:pt idx="0">
                  <c:v>0</c:v>
                </c:pt>
              </c:numCache>
            </c:numRef>
          </c:xVal>
          <c:yVal>
            <c:numRef>
              <c:f>'PiN Visuals'!$K$6:$K$31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8B-4DE1-B8B7-29F662A9504D}"/>
            </c:ext>
          </c:extLst>
        </c:ser>
        <c:ser>
          <c:idx val="3"/>
          <c:order val="3"/>
          <c:tx>
            <c:strRef>
              <c:f>'PiN Visuals'!$L$5</c:f>
              <c:strCache>
                <c:ptCount val="1"/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'PiN Visuals'!$H$6:$H$31</c:f>
              <c:numCache>
                <c:formatCode>0%</c:formatCode>
                <c:ptCount val="26"/>
                <c:pt idx="0">
                  <c:v>0</c:v>
                </c:pt>
              </c:numCache>
            </c:numRef>
          </c:xVal>
          <c:yVal>
            <c:numRef>
              <c:f>'PiN Visuals'!$L$6:$L$31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8F-4450-A049-7F64D1F1CAF5}"/>
            </c:ext>
          </c:extLst>
        </c:ser>
        <c:ser>
          <c:idx val="4"/>
          <c:order val="4"/>
          <c:tx>
            <c:strRef>
              <c:f>'PiN Visuals'!$M$5</c:f>
              <c:strCache>
                <c:ptCount val="1"/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'PiN Visuals'!$H$6:$H$31</c:f>
              <c:numCache>
                <c:formatCode>0%</c:formatCode>
                <c:ptCount val="26"/>
                <c:pt idx="0">
                  <c:v>0</c:v>
                </c:pt>
              </c:numCache>
            </c:numRef>
          </c:xVal>
          <c:yVal>
            <c:numRef>
              <c:f>'PiN Visuals'!$M$6:$M$31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8F-4450-A049-7F64D1F1C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961231"/>
        <c:axId val="354960271"/>
      </c:scatterChart>
      <c:valAx>
        <c:axId val="354961231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of PiN</a:t>
                </a:r>
                <a:r>
                  <a:rPr lang="en-GB" baseline="0"/>
                  <a:t> change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5259603888065963"/>
              <c:y val="0.832720670393533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4960271"/>
        <c:crosses val="autoZero"/>
        <c:crossBetween val="midCat"/>
      </c:valAx>
      <c:valAx>
        <c:axId val="3549602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# of units</a:t>
                </a:r>
              </a:p>
            </c:rich>
          </c:tx>
          <c:layout>
            <c:manualLayout>
              <c:xMode val="edge"/>
              <c:yMode val="edge"/>
              <c:x val="1.1437909968337961E-2"/>
              <c:y val="0.42433891700240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4961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439469332441627"/>
          <c:y val="0.92448160395998424"/>
          <c:w val="0.254165328848457"/>
          <c:h val="4.615415428091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'Preliminary results graph'!$A$7</c:f>
          <c:strCache>
            <c:ptCount val="1"/>
            <c:pt idx="0">
              <c:v>Total Sectoral and Overall PiN, from a total population of 17858856,000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938683349512818"/>
          <c:y val="0.12633663366336634"/>
          <c:w val="0.87052184230395857"/>
          <c:h val="0.570519288149287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'Preliminary results graph'!$B$4:$N$4</c:f>
              <c:strCache>
                <c:ptCount val="2"/>
                <c:pt idx="0">
                  <c:v>Overall PiN</c:v>
                </c:pt>
                <c:pt idx="1">
                  <c:v>#REF!</c:v>
                </c:pt>
              </c:strCache>
            </c:strRef>
          </c:cat>
          <c:val>
            <c:numRef>
              <c:f>'Preliminary results graph'!$B$5:$N$5</c:f>
              <c:numCache>
                <c:formatCode>_ * #,##0_ ;_ * \-#,##0_ ;_ * "-"??_ ;_ @_ </c:formatCode>
                <c:ptCount val="13"/>
                <c:pt idx="0">
                  <c:v>6001764.5469768289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0-0149-90BD-58D70062A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616592"/>
        <c:axId val="261902624"/>
      </c:barChart>
      <c:catAx>
        <c:axId val="111361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1902624"/>
        <c:crosses val="autoZero"/>
        <c:auto val="1"/>
        <c:lblAlgn val="ctr"/>
        <c:lblOffset val="100"/>
        <c:noMultiLvlLbl val="0"/>
      </c:catAx>
      <c:valAx>
        <c:axId val="26190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361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of units for Sectoral and Intersectoral Severity per severity phase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1</c:v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'Preliminary results graph'!$V$10:$AJ$10</c:f>
              <c:numCache>
                <c:formatCode>General</c:formatCode>
                <c:ptCount val="15"/>
                <c:pt idx="0">
                  <c:v>0</c:v>
                </c:pt>
              </c:numCache>
            </c:numRef>
          </c:cat>
          <c:val>
            <c:numRef>
              <c:f>'Preliminary results graph'!$V$11:$AI$11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1-2410-E245-9BB0-E5D4ACCFBF52}"/>
            </c:ext>
          </c:extLst>
        </c:ser>
        <c:ser>
          <c:idx val="2"/>
          <c:order val="1"/>
          <c:tx>
            <c:v>2</c:v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'Preliminary results graph'!$V$10:$AJ$10</c:f>
              <c:numCache>
                <c:formatCode>General</c:formatCode>
                <c:ptCount val="15"/>
                <c:pt idx="0">
                  <c:v>0</c:v>
                </c:pt>
              </c:numCache>
            </c:numRef>
          </c:cat>
          <c:val>
            <c:numRef>
              <c:f>'Preliminary results graph'!$V$12:$AI$12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2-2410-E245-9BB0-E5D4ACCFBF52}"/>
            </c:ext>
          </c:extLst>
        </c:ser>
        <c:ser>
          <c:idx val="3"/>
          <c:order val="2"/>
          <c:tx>
            <c:v>3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'Preliminary results graph'!$V$10:$AJ$10</c:f>
              <c:numCache>
                <c:formatCode>General</c:formatCode>
                <c:ptCount val="15"/>
                <c:pt idx="0">
                  <c:v>0</c:v>
                </c:pt>
              </c:numCache>
            </c:numRef>
          </c:cat>
          <c:val>
            <c:numRef>
              <c:f>'Preliminary results graph'!$V$13:$AI$13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3-2410-E245-9BB0-E5D4ACCFBF52}"/>
            </c:ext>
          </c:extLst>
        </c:ser>
        <c:ser>
          <c:idx val="4"/>
          <c:order val="3"/>
          <c:tx>
            <c:v>4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'Preliminary results graph'!$V$10:$AJ$10</c:f>
              <c:numCache>
                <c:formatCode>General</c:formatCode>
                <c:ptCount val="15"/>
                <c:pt idx="0">
                  <c:v>0</c:v>
                </c:pt>
              </c:numCache>
            </c:numRef>
          </c:cat>
          <c:val>
            <c:numRef>
              <c:f>'Preliminary results graph'!$V$14:$AI$14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4-2410-E245-9BB0-E5D4ACCFBF52}"/>
            </c:ext>
          </c:extLst>
        </c:ser>
        <c:ser>
          <c:idx val="5"/>
          <c:order val="4"/>
          <c:tx>
            <c:v>5</c:v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'Preliminary results graph'!$V$10:$AJ$10</c:f>
              <c:numCache>
                <c:formatCode>General</c:formatCode>
                <c:ptCount val="15"/>
                <c:pt idx="0">
                  <c:v>0</c:v>
                </c:pt>
              </c:numCache>
            </c:numRef>
          </c:cat>
          <c:val>
            <c:numRef>
              <c:f>'Preliminary results graph'!$V$15:$AI$15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0-0CCB-4100-BB53-AB6C020F6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9549456"/>
        <c:axId val="1629551184"/>
      </c:barChart>
      <c:catAx>
        <c:axId val="162954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9551184"/>
        <c:crosses val="autoZero"/>
        <c:auto val="1"/>
        <c:lblAlgn val="ctr"/>
        <c:lblOffset val="100"/>
        <c:noMultiLvlLbl val="0"/>
      </c:catAx>
      <c:valAx>
        <c:axId val="162955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units</a:t>
                </a:r>
              </a:p>
            </c:rich>
          </c:tx>
          <c:layout>
            <c:manualLayout>
              <c:xMode val="edge"/>
              <c:yMode val="edge"/>
              <c:x val="8.21917808219178E-3"/>
              <c:y val="0.378213889545561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954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8221385826771651"/>
          <c:y val="0.93331381498790711"/>
          <c:w val="0.16709828148966019"/>
          <c:h val="6.6686245300418528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>
          <a:outerShdw algn="ctr" rotWithShape="0">
            <a:srgbClr val="000000"/>
          </a:outerShdw>
          <a:softEdge rad="0"/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ln>
                <a:noFill/>
              </a:ln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units each sector is the driver for PiN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'Preliminary results graph'!$C$26:$J$26</c:f>
              <c:strCache>
                <c:ptCount val="8"/>
                <c:pt idx="0">
                  <c:v>CCCM</c:v>
                </c:pt>
                <c:pt idx="1">
                  <c:v>Education</c:v>
                </c:pt>
                <c:pt idx="2">
                  <c:v>Early Recovery</c:v>
                </c:pt>
                <c:pt idx="3">
                  <c:v>Food Security</c:v>
                </c:pt>
                <c:pt idx="4">
                  <c:v>Heath</c:v>
                </c:pt>
                <c:pt idx="5">
                  <c:v>Nutrition</c:v>
                </c:pt>
                <c:pt idx="6">
                  <c:v>Overarching Protection</c:v>
                </c:pt>
                <c:pt idx="7">
                  <c:v>Shelter</c:v>
                </c:pt>
              </c:strCache>
            </c:strRef>
          </c:cat>
          <c:val>
            <c:numRef>
              <c:f>'Preliminary results graph'!$C$27:$J$27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2-4BDA-A750-A2E73AF19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465080"/>
        <c:axId val="756458848"/>
      </c:barChart>
      <c:catAx>
        <c:axId val="756465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6458848"/>
        <c:crosses val="autoZero"/>
        <c:auto val="1"/>
        <c:lblAlgn val="ctr"/>
        <c:lblOffset val="100"/>
        <c:noMultiLvlLbl val="0"/>
      </c:catAx>
      <c:valAx>
        <c:axId val="75645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6465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units each sector has the highest severity phase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'Preliminary results graph'!$U$26:$AB$26</c:f>
              <c:strCache>
                <c:ptCount val="8"/>
                <c:pt idx="0">
                  <c:v>CCCM</c:v>
                </c:pt>
                <c:pt idx="1">
                  <c:v>Education</c:v>
                </c:pt>
                <c:pt idx="2">
                  <c:v>Early Recovery</c:v>
                </c:pt>
                <c:pt idx="3">
                  <c:v>Food Security</c:v>
                </c:pt>
                <c:pt idx="4">
                  <c:v>Health</c:v>
                </c:pt>
                <c:pt idx="5">
                  <c:v>Nutrition</c:v>
                </c:pt>
                <c:pt idx="6">
                  <c:v>Overarching Protection</c:v>
                </c:pt>
                <c:pt idx="7">
                  <c:v>Shelter</c:v>
                </c:pt>
              </c:strCache>
            </c:strRef>
          </c:cat>
          <c:val>
            <c:numRef>
              <c:f>'Preliminary results graph'!$U$27:$AB$27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9-4294-958A-FA04950A9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467096"/>
        <c:axId val="762473984"/>
      </c:barChart>
      <c:catAx>
        <c:axId val="762467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2473984"/>
        <c:crosses val="autoZero"/>
        <c:auto val="1"/>
        <c:lblAlgn val="ctr"/>
        <c:lblOffset val="100"/>
        <c:noMultiLvlLbl val="0"/>
      </c:catAx>
      <c:valAx>
        <c:axId val="76247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units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4007440487679518E-2"/>
              <c:y val="0.416317755512774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2467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436562</xdr:colOff>
      <xdr:row>3</xdr:row>
      <xdr:rowOff>19051</xdr:rowOff>
    </xdr:from>
    <xdr:to>
      <xdr:col>25</xdr:col>
      <xdr:colOff>76200</xdr:colOff>
      <xdr:row>26</xdr:row>
      <xdr:rowOff>85726</xdr:rowOff>
    </xdr:to>
    <xdr:graphicFrame macro="">
      <xdr:nvGraphicFramePr>
        <xdr:cNvPr id="17" name="Chart 7">
          <a:extLst>
            <a:ext uri="{FF2B5EF4-FFF2-40B4-BE49-F238E27FC236}">
              <a16:creationId xmlns:a16="http://schemas.microsoft.com/office/drawing/2014/main" id="{D73B1969-C870-5C90-1254-E842B28FF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495300</xdr:colOff>
      <xdr:row>2</xdr:row>
      <xdr:rowOff>280985</xdr:rowOff>
    </xdr:from>
    <xdr:to>
      <xdr:col>40</xdr:col>
      <xdr:colOff>76200</xdr:colOff>
      <xdr:row>26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61ACB-6B44-AF8A-704E-BE6D337B88FE}"/>
            </a:ext>
            <a:ext uri="{147F2762-F138-4A5C-976F-8EAC2B608ADB}">
              <a16:predDERef xmlns:a16="http://schemas.microsoft.com/office/drawing/2014/main" pred="{D73B1969-C870-5C90-1254-E842B28FF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34925</xdr:rowOff>
    </xdr:from>
    <xdr:to>
      <xdr:col>17</xdr:col>
      <xdr:colOff>571500</xdr:colOff>
      <xdr:row>18</xdr:row>
      <xdr:rowOff>133350</xdr:rowOff>
    </xdr:to>
    <xdr:graphicFrame macro="">
      <xdr:nvGraphicFramePr>
        <xdr:cNvPr id="26" name="Chart 5">
          <a:extLst>
            <a:ext uri="{FF2B5EF4-FFF2-40B4-BE49-F238E27FC236}">
              <a16:creationId xmlns:a16="http://schemas.microsoft.com/office/drawing/2014/main" id="{A43B19F8-5C5E-0FA5-0B72-79A9BF4EC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596899</xdr:colOff>
      <xdr:row>0</xdr:row>
      <xdr:rowOff>47625</xdr:rowOff>
    </xdr:from>
    <xdr:to>
      <xdr:col>36</xdr:col>
      <xdr:colOff>428624</xdr:colOff>
      <xdr:row>18</xdr:row>
      <xdr:rowOff>142875</xdr:rowOff>
    </xdr:to>
    <xdr:graphicFrame macro="">
      <xdr:nvGraphicFramePr>
        <xdr:cNvPr id="78" name="Chart 1">
          <a:extLst>
            <a:ext uri="{FF2B5EF4-FFF2-40B4-BE49-F238E27FC236}">
              <a16:creationId xmlns:a16="http://schemas.microsoft.com/office/drawing/2014/main" id="{433B0AA5-E000-C738-5866-D00020D385BF}"/>
            </a:ext>
            <a:ext uri="{147F2762-F138-4A5C-976F-8EAC2B608ADB}">
              <a16:predDERef xmlns:a16="http://schemas.microsoft.com/office/drawing/2014/main" pred="{A43B19F8-5C5E-0FA5-0B72-79A9BF4EC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18</xdr:row>
      <xdr:rowOff>157162</xdr:rowOff>
    </xdr:from>
    <xdr:to>
      <xdr:col>17</xdr:col>
      <xdr:colOff>561975</xdr:colOff>
      <xdr:row>35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557E21-025F-6321-980B-59FC0549699B}"/>
            </a:ext>
            <a:ext uri="{147F2762-F138-4A5C-976F-8EAC2B608ADB}">
              <a16:predDERef xmlns:a16="http://schemas.microsoft.com/office/drawing/2014/main" pred="{433B0AA5-E000-C738-5866-D00020D38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576261</xdr:colOff>
      <xdr:row>18</xdr:row>
      <xdr:rowOff>176211</xdr:rowOff>
    </xdr:from>
    <xdr:to>
      <xdr:col>36</xdr:col>
      <xdr:colOff>390524</xdr:colOff>
      <xdr:row>35</xdr:row>
      <xdr:rowOff>47624</xdr:rowOff>
    </xdr:to>
    <xdr:graphicFrame macro="">
      <xdr:nvGraphicFramePr>
        <xdr:cNvPr id="72" name="Chart 4">
          <a:extLst>
            <a:ext uri="{FF2B5EF4-FFF2-40B4-BE49-F238E27FC236}">
              <a16:creationId xmlns:a16="http://schemas.microsoft.com/office/drawing/2014/main" id="{C52AC021-AB76-5490-8FAD-151F828F56C9}"/>
            </a:ext>
            <a:ext uri="{147F2762-F138-4A5C-976F-8EAC2B608ADB}">
              <a16:predDERef xmlns:a16="http://schemas.microsoft.com/office/drawing/2014/main" pred="{FA557E21-025F-6321-980B-59FC05496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1C7DAF7-37A5-437D-A71A-78BDE7153DE7}" name="tblPiNAnalysis" displayName="tblPiNAnalysis" ref="A3:U68" totalsRowShown="0" headerRowDxfId="93" dataDxfId="91" headerRowBorderDxfId="92" tableBorderDxfId="90" totalsRowBorderDxfId="89" headerRowCellStyle="Comma 2">
  <autoFilter ref="A3:U68" xr:uid="{11C7DAF7-37A5-437D-A71A-78BDE7153DE7}"/>
  <tableColumns count="21">
    <tableColumn id="2" xr3:uid="{90C30682-CC85-4A40-8C59-3DE4818FD180}" name="Admin 1" dataDxfId="88" totalsRowDxfId="87"/>
    <tableColumn id="15" xr3:uid="{7B726629-BA89-49F5-8F57-2B9EB4CDD021}" name="Admin 1 P-Code" dataDxfId="86" totalsRowDxfId="85"/>
    <tableColumn id="14" xr3:uid="{BAE67459-66F5-4493-A91C-9D2B08E6B8EC}" name="Admin 2" dataDxfId="84" totalsRowDxfId="83"/>
    <tableColumn id="3" xr3:uid="{19F61B87-5E5C-480C-970D-62A72E5FF1E6}" name="Admin 2 P-Code" dataDxfId="82" totalsRowDxfId="81"/>
    <tableColumn id="4" xr3:uid="{C3D266F4-08AD-4E59-ACFC-6FCB92954911}" name="Population" dataDxfId="80" totalsRowDxfId="79" dataCellStyle="Comma"/>
    <tableColumn id="29" xr3:uid="{E0F650EC-BD3F-4798-948C-937FC547C3AC}" name="Population Group" dataDxfId="78" totalsRowDxfId="77" dataCellStyle="Comma"/>
    <tableColumn id="8" xr3:uid="{F9A63AE1-604E-42EF-A449-294D1C9BA734}" name="CCCM" dataDxfId="76" totalsRowDxfId="75" dataCellStyle="Comma [0]"/>
    <tableColumn id="31" xr3:uid="{C853B6B0-0D51-4D27-A0DE-8BBED5DB5DBC}" name="Education" dataDxfId="74" totalsRowDxfId="73" dataCellStyle="Comma"/>
    <tableColumn id="47" xr3:uid="{90058EFF-CC00-4AC8-9433-572C6C8EFFE4}" name="Early Recovery" dataDxfId="72" totalsRowDxfId="71" dataCellStyle="Comma"/>
    <tableColumn id="32" xr3:uid="{56EE9F16-B087-4DC5-9E34-9168FFDBAB16}" name="Food Security" dataDxfId="70" totalsRowDxfId="69" dataCellStyle="Comma"/>
    <tableColumn id="10" xr3:uid="{C2D31B2E-F8B2-40B5-B8BE-579B6F858303}" name="Heath" dataDxfId="68" totalsRowDxfId="67" dataCellStyle="Comma"/>
    <tableColumn id="33" xr3:uid="{EA7D01DC-FF04-481D-832D-E586DCE04584}" name="Nutrition" dataDxfId="66" totalsRowDxfId="65" dataCellStyle="Comma"/>
    <tableColumn id="11" xr3:uid="{35F16878-B666-46A1-BBFF-0BE781639BC0}" name="Overarching Protection" dataDxfId="64" totalsRowDxfId="63" dataCellStyle="Comma"/>
    <tableColumn id="9" xr3:uid="{11307CA3-5DE0-484A-AA61-91E0ABC3D54A}" name="Shelter" dataDxfId="62" totalsRowDxfId="61" dataCellStyle="Comma"/>
    <tableColumn id="17" xr3:uid="{BB2853C7-D9DD-4C35-A144-B7DE9E3D8429}" name="WASH" dataDxfId="60" totalsRowDxfId="59" dataCellStyle="Comma"/>
    <tableColumn id="46" xr3:uid="{853C4793-8062-4F33-8EAD-C16A7B220EFD}" name="Severity" dataDxfId="58" totalsRowDxfId="57" dataCellStyle="Percent"/>
    <tableColumn id="56" xr3:uid="{CF7DC092-BFB4-4899-987D-F32FC1BAACB2}" name="Preliminary PiN" dataDxfId="56" totalsRowDxfId="55" dataCellStyle="Comma"/>
    <tableColumn id="44" xr3:uid="{F0A6E442-5E92-474E-A531-A201AC702C5A}" name="Final PiN" dataDxfId="54" totalsRowDxfId="53"/>
    <tableColumn id="5" xr3:uid="{CCDCA844-1C62-445A-A508-2D171AEA612C}" name="Evidence &amp; Comments" dataDxfId="52" totalsRowDxfId="51"/>
    <tableColumn id="67" xr3:uid="{E1C09146-BA89-4FC6-BEA9-B630364A0A94}" name="Targeted" dataDxfId="50" totalsRowDxfId="49"/>
    <tableColumn id="57" xr3:uid="{A2758D7C-DC5D-488E-8DF3-531A182EE411}" name="Priority" dataDxfId="48" totalsRowDxfId="4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C62CB9-79E0-497E-A079-06B621BAA7FA}" name="tblSeverityAnalysis" displayName="tblSeverityAnalysis" ref="A3:W114" totalsRowShown="0" headerRowDxfId="46" dataDxfId="44" headerRowBorderDxfId="45" tableBorderDxfId="43" totalsRowBorderDxfId="42" headerRowCellStyle="Comma 2">
  <autoFilter ref="A3:W114" xr:uid="{C1C62CB9-79E0-497E-A079-06B621BAA7FA}"/>
  <tableColumns count="23">
    <tableColumn id="2" xr3:uid="{DE5C2973-C3F7-4CA7-A76B-64D8D90C3D11}" name="Admin 1" dataDxfId="41"/>
    <tableColumn id="15" xr3:uid="{B194334C-81FA-4EF2-9AE3-5E75730B9BF4}" name="Admin 1 P-Code" dataDxfId="40"/>
    <tableColumn id="14" xr3:uid="{3DF13833-849E-4712-95EC-D8335688FB50}" name="Admin 2" dataDxfId="39"/>
    <tableColumn id="3" xr3:uid="{D7B62F2F-A63B-44BE-AE4E-30223A2CCBFD}" name="Admin 2 P-Code" dataDxfId="38"/>
    <tableColumn id="4" xr3:uid="{A48A17EA-68C0-4A1F-9FBF-4FDCF8A3B119}" name="Population" dataDxfId="37" dataCellStyle="Comma"/>
    <tableColumn id="29" xr3:uid="{F731F25E-5448-4170-BE76-BCA9E8A21DF1}" name="Population Group" dataDxfId="36" dataCellStyle="Comma"/>
    <tableColumn id="8" xr3:uid="{2EAA504B-FE48-494A-8CCF-FE05D7E55168}" name="CCCM" dataDxfId="35" dataCellStyle="Comma"/>
    <tableColumn id="28" xr3:uid="{8EC991C6-7B68-4484-9C84-10D9DC456D7C}" name="Education" dataDxfId="34" dataCellStyle="Comma"/>
    <tableColumn id="10" xr3:uid="{8E2042EE-1CD5-45A3-A0F4-6E648C2C2C9A}" name="Early Recovery" dataDxfId="33" dataCellStyle="Comma"/>
    <tableColumn id="31" xr3:uid="{623EB35B-A873-438D-B4FC-568020B0E314}" name="Food Security" dataDxfId="32" dataCellStyle="Comma"/>
    <tableColumn id="33" xr3:uid="{A3845C6F-B00A-4D3D-BCD9-7001DF7C2BF3}" name="Health" dataDxfId="31" dataCellStyle="Comma"/>
    <tableColumn id="16" xr3:uid="{CCC771BB-071E-462D-BAD3-7ECDFD8BA39C}" name="Nutrition" dataDxfId="30" dataCellStyle="Comma"/>
    <tableColumn id="11" xr3:uid="{C2D74A6D-BDA9-499B-B531-C38E9D023E99}" name="Overarching Protection" dataDxfId="29" dataCellStyle="Comma"/>
    <tableColumn id="9" xr3:uid="{89554A4D-4796-4166-AEA8-75E4763F3CF9}" name="Shelter" dataDxfId="28" dataCellStyle="Comma"/>
    <tableColumn id="17" xr3:uid="{E84A9292-43B6-4C5B-94DA-076D49B68338}" name="WASH" dataDxfId="27" dataCellStyle="Comma"/>
    <tableColumn id="56" xr3:uid="{BCD5170C-CF9D-4191-BCCB-28922DB24DAD}" name="Preliminary Intersectoral Severity based on overlap of sectoral deprivations" dataDxfId="24" dataCellStyle="Comma"/>
    <tableColumn id="30" xr3:uid="{898C226D-603A-4B03-8AB3-F1B1EC15F4D3}" name="Mortality" dataDxfId="23" dataCellStyle="Comma"/>
    <tableColumn id="35" xr3:uid="{52915851-B9BD-417C-9D89-D537647E1C1F}" name="Malnutrition" dataDxfId="22" dataCellStyle="Comma"/>
    <tableColumn id="34" xr3:uid="{BDB14026-41EC-4A9C-A4E8-BAA7D3A952B2}" name="Epidemics" dataDxfId="21" dataCellStyle="Comma"/>
    <tableColumn id="13" xr3:uid="{91890E29-2CD2-4CF5-965E-648927B4CD6E}" name="Livelihood Coping" dataDxfId="20" dataCellStyle="Comma"/>
    <tableColumn id="18" xr3:uid="{06E2A20B-4EBA-4551-95F0-A0BB49DFCB92}" name="HR/IHL Violation" dataDxfId="19"/>
    <tableColumn id="44" xr3:uid="{03F94C7E-8EDA-4018-9837-589E65ECA95C}" name="Final Severity" dataDxfId="26"/>
    <tableColumn id="5" xr3:uid="{8C5B51FE-2FF3-4432-A4F9-72475869B3BB}" name="Evidence &amp; Comments" dataDxfId="25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E69F-9856-4D47-A31A-7469FA8D9F17}">
  <sheetPr codeName="Sheet6">
    <tabColor theme="7" tint="0.59999389629810485"/>
  </sheetPr>
  <dimension ref="A1:BG68"/>
  <sheetViews>
    <sheetView showGridLines="0" zoomScale="85" zoomScaleNormal="85" workbookViewId="0">
      <pane ySplit="3" topLeftCell="A4" activePane="bottomLeft" state="frozen"/>
      <selection activeCell="R19" sqref="R19"/>
      <selection pane="bottomLeft" activeCell="E17" sqref="E17"/>
    </sheetView>
  </sheetViews>
  <sheetFormatPr defaultColWidth="8.5234375" defaultRowHeight="14.4" x14ac:dyDescent="0.55000000000000004"/>
  <cols>
    <col min="1" max="1" width="20.15625" style="45" customWidth="1"/>
    <col min="2" max="2" width="19.5234375" style="45" customWidth="1"/>
    <col min="3" max="3" width="17.47265625" style="45" customWidth="1"/>
    <col min="4" max="4" width="19.7890625" style="45" bestFit="1" customWidth="1"/>
    <col min="5" max="5" width="14.15625" style="4" customWidth="1"/>
    <col min="6" max="6" width="10.7890625" style="4" customWidth="1"/>
    <col min="7" max="7" width="12.7890625" style="8" customWidth="1"/>
    <col min="8" max="15" width="12.7890625" style="4" customWidth="1"/>
    <col min="16" max="16" width="10.3125" customWidth="1"/>
    <col min="17" max="17" width="10.3125" style="8" customWidth="1"/>
    <col min="18" max="18" width="16.47265625" style="4" customWidth="1"/>
    <col min="19" max="19" width="23.26171875" customWidth="1"/>
    <col min="20" max="20" width="23.26171875" hidden="1" customWidth="1"/>
    <col min="21" max="21" width="25.15625" style="2" hidden="1" customWidth="1"/>
    <col min="22" max="22" width="25.15625" style="2" customWidth="1"/>
    <col min="23" max="23" width="27.5234375" style="2" customWidth="1"/>
    <col min="24" max="24" width="25.47265625" customWidth="1"/>
    <col min="25" max="25" width="24.26171875" customWidth="1"/>
    <col min="26" max="26" width="25.7890625" style="28" customWidth="1"/>
    <col min="27" max="28" width="25.7890625" style="2" customWidth="1"/>
    <col min="29" max="29" width="38.5234375" style="2" customWidth="1"/>
    <col min="30" max="30" width="57.26171875" style="2" customWidth="1"/>
    <col min="31" max="31" width="25.47265625" style="2" customWidth="1"/>
    <col min="32" max="32" width="27.26171875" customWidth="1"/>
    <col min="33" max="33" width="22.15625" customWidth="1"/>
    <col min="34" max="34" width="16" style="2" customWidth="1"/>
    <col min="35" max="35" width="11.15625" customWidth="1"/>
    <col min="36" max="36" width="12.5234375" style="5" customWidth="1"/>
    <col min="37" max="37" width="20" style="4" bestFit="1" customWidth="1"/>
    <col min="38" max="38" width="46.15625" style="2" customWidth="1"/>
  </cols>
  <sheetData>
    <row r="1" spans="1:38" ht="30" customHeight="1" thickBot="1" x14ac:dyDescent="0.75">
      <c r="A1" s="42"/>
      <c r="B1" s="42"/>
      <c r="C1" s="42"/>
      <c r="D1" s="42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104"/>
      <c r="Q1" s="61"/>
      <c r="R1" s="99">
        <v>5929291.5886434959</v>
      </c>
      <c r="S1" s="99"/>
      <c r="T1" s="127">
        <v>2606169.0331327394</v>
      </c>
      <c r="U1" s="127">
        <v>1849891.0331327394</v>
      </c>
      <c r="V1"/>
      <c r="W1"/>
      <c r="Z1"/>
      <c r="AA1"/>
      <c r="AB1"/>
      <c r="AC1"/>
      <c r="AD1"/>
      <c r="AE1"/>
      <c r="AH1"/>
      <c r="AJ1"/>
      <c r="AK1"/>
      <c r="AL1"/>
    </row>
    <row r="2" spans="1:38" ht="50.5" customHeight="1" thickTop="1" thickBot="1" x14ac:dyDescent="0.6">
      <c r="A2" s="148" t="s">
        <v>3</v>
      </c>
      <c r="B2" s="148"/>
      <c r="C2" s="148"/>
      <c r="D2" s="148"/>
      <c r="E2" s="149" t="s">
        <v>4</v>
      </c>
      <c r="F2" s="149"/>
      <c r="G2" s="151" t="s">
        <v>5</v>
      </c>
      <c r="H2" s="151"/>
      <c r="I2" s="151"/>
      <c r="J2" s="151"/>
      <c r="K2" s="151"/>
      <c r="L2" s="151"/>
      <c r="M2" s="151"/>
      <c r="N2" s="151"/>
      <c r="O2" s="151"/>
      <c r="P2" s="146"/>
      <c r="Q2" s="147"/>
      <c r="R2" s="150"/>
      <c r="S2" s="150"/>
      <c r="T2" s="129"/>
      <c r="U2" s="126"/>
      <c r="V2"/>
      <c r="W2"/>
      <c r="Z2"/>
      <c r="AA2"/>
      <c r="AB2"/>
      <c r="AC2"/>
      <c r="AD2"/>
      <c r="AE2"/>
      <c r="AH2"/>
      <c r="AJ2"/>
      <c r="AK2"/>
      <c r="AL2"/>
    </row>
    <row r="3" spans="1:38" ht="93.75" customHeight="1" thickTop="1" thickBot="1" x14ac:dyDescent="0.6">
      <c r="A3" s="58" t="s">
        <v>6</v>
      </c>
      <c r="B3" s="43" t="s">
        <v>7</v>
      </c>
      <c r="C3" s="43" t="s">
        <v>8</v>
      </c>
      <c r="D3" s="43" t="s">
        <v>9</v>
      </c>
      <c r="E3" s="41" t="s">
        <v>10</v>
      </c>
      <c r="F3" s="20" t="s">
        <v>11</v>
      </c>
      <c r="G3" s="23" t="s">
        <v>12</v>
      </c>
      <c r="H3" s="24" t="s">
        <v>2</v>
      </c>
      <c r="I3" s="24" t="s">
        <v>183</v>
      </c>
      <c r="J3" s="24" t="s">
        <v>14</v>
      </c>
      <c r="K3" s="24" t="s">
        <v>184</v>
      </c>
      <c r="L3" s="24" t="s">
        <v>13</v>
      </c>
      <c r="M3" s="24" t="s">
        <v>16</v>
      </c>
      <c r="N3" s="24" t="s">
        <v>17</v>
      </c>
      <c r="O3" s="48" t="s">
        <v>18</v>
      </c>
      <c r="P3" s="105" t="s">
        <v>46</v>
      </c>
      <c r="Q3" s="26" t="s">
        <v>19</v>
      </c>
      <c r="R3" s="100" t="s">
        <v>20</v>
      </c>
      <c r="S3" s="101" t="s">
        <v>21</v>
      </c>
      <c r="T3" s="130" t="s">
        <v>186</v>
      </c>
      <c r="U3" s="47" t="s">
        <v>185</v>
      </c>
      <c r="V3"/>
      <c r="W3"/>
      <c r="Z3"/>
      <c r="AA3"/>
      <c r="AB3"/>
      <c r="AC3"/>
      <c r="AD3"/>
      <c r="AE3"/>
      <c r="AH3"/>
      <c r="AJ3"/>
      <c r="AK3"/>
      <c r="AL3"/>
    </row>
    <row r="4" spans="1:38" s="90" customFormat="1" ht="17.2" customHeight="1" thickTop="1" x14ac:dyDescent="0.55000000000000004">
      <c r="A4" s="91" t="s">
        <v>47</v>
      </c>
      <c r="B4" s="77" t="s">
        <v>48</v>
      </c>
      <c r="C4" s="92" t="s">
        <v>49</v>
      </c>
      <c r="D4" s="92" t="s">
        <v>50</v>
      </c>
      <c r="E4" s="82">
        <v>285016</v>
      </c>
      <c r="F4" s="123"/>
      <c r="G4" s="138">
        <v>16908</v>
      </c>
      <c r="H4" s="78">
        <v>18581</v>
      </c>
      <c r="I4" s="78">
        <v>0</v>
      </c>
      <c r="J4" s="78">
        <v>77315.095002809452</v>
      </c>
      <c r="K4" s="10">
        <v>49898.766000000003</v>
      </c>
      <c r="L4" s="78">
        <v>68632</v>
      </c>
      <c r="M4" s="78">
        <v>7510</v>
      </c>
      <c r="N4" s="85">
        <v>20943</v>
      </c>
      <c r="O4" s="78">
        <v>57504.496761133603</v>
      </c>
      <c r="P4" s="128">
        <v>3</v>
      </c>
      <c r="Q4" s="79">
        <v>77315.095002809452</v>
      </c>
      <c r="R4" s="93">
        <v>77315.095002809452</v>
      </c>
      <c r="S4" s="94"/>
      <c r="T4" s="125">
        <v>0</v>
      </c>
      <c r="U4" s="125">
        <v>0</v>
      </c>
      <c r="V4" s="95"/>
      <c r="W4" s="95"/>
      <c r="Z4" s="96"/>
      <c r="AA4" s="95"/>
      <c r="AB4" s="95"/>
      <c r="AC4" s="95"/>
      <c r="AD4" s="95"/>
      <c r="AE4" s="95"/>
      <c r="AH4" s="95"/>
      <c r="AJ4" s="97"/>
      <c r="AK4" s="98"/>
      <c r="AL4" s="95"/>
    </row>
    <row r="5" spans="1:38" s="90" customFormat="1" ht="17.2" customHeight="1" x14ac:dyDescent="0.55000000000000004">
      <c r="A5" s="91" t="s">
        <v>47</v>
      </c>
      <c r="B5" s="77" t="s">
        <v>48</v>
      </c>
      <c r="C5" s="92" t="s">
        <v>51</v>
      </c>
      <c r="D5" s="92" t="s">
        <v>52</v>
      </c>
      <c r="E5" s="82">
        <v>443009</v>
      </c>
      <c r="F5" s="121"/>
      <c r="G5" s="138">
        <v>7710</v>
      </c>
      <c r="H5" s="78">
        <v>40636.21428571429</v>
      </c>
      <c r="I5" s="78">
        <v>0</v>
      </c>
      <c r="J5" s="78">
        <v>94554.224018395515</v>
      </c>
      <c r="K5" s="10">
        <v>79161.571000000011</v>
      </c>
      <c r="L5" s="78"/>
      <c r="M5" s="78">
        <v>0</v>
      </c>
      <c r="N5" s="85">
        <v>40357</v>
      </c>
      <c r="O5" s="78">
        <v>0</v>
      </c>
      <c r="P5" s="128">
        <v>2</v>
      </c>
      <c r="Q5" s="21">
        <v>0</v>
      </c>
      <c r="R5" s="93">
        <v>0</v>
      </c>
      <c r="S5" s="94"/>
      <c r="T5" s="125">
        <v>0</v>
      </c>
      <c r="U5" s="125">
        <v>0</v>
      </c>
      <c r="V5" s="95"/>
      <c r="W5" s="95"/>
      <c r="Z5" s="96"/>
      <c r="AA5" s="95"/>
      <c r="AB5" s="95"/>
      <c r="AC5" s="95"/>
      <c r="AD5" s="95"/>
      <c r="AE5" s="95"/>
      <c r="AH5" s="95"/>
      <c r="AJ5" s="97"/>
      <c r="AK5" s="98"/>
      <c r="AL5" s="95"/>
    </row>
    <row r="6" spans="1:38" s="90" customFormat="1" ht="17.2" customHeight="1" x14ac:dyDescent="0.55000000000000004">
      <c r="A6" s="91" t="s">
        <v>47</v>
      </c>
      <c r="B6" s="77" t="s">
        <v>48</v>
      </c>
      <c r="C6" s="92" t="s">
        <v>53</v>
      </c>
      <c r="D6" s="44" t="s">
        <v>54</v>
      </c>
      <c r="E6" s="82">
        <v>310190</v>
      </c>
      <c r="F6" s="121"/>
      <c r="G6" s="138">
        <v>816</v>
      </c>
      <c r="H6" s="78">
        <v>27494.61904761905</v>
      </c>
      <c r="I6" s="78">
        <v>0</v>
      </c>
      <c r="J6" s="78">
        <v>70580.50473914943</v>
      </c>
      <c r="K6" s="10">
        <v>54245.603999999999</v>
      </c>
      <c r="L6" s="78"/>
      <c r="M6" s="78">
        <v>0</v>
      </c>
      <c r="N6" s="85">
        <v>23503</v>
      </c>
      <c r="O6" s="78">
        <v>0</v>
      </c>
      <c r="P6" s="128">
        <v>2</v>
      </c>
      <c r="Q6" s="21">
        <v>0</v>
      </c>
      <c r="R6" s="93">
        <v>0</v>
      </c>
      <c r="S6" s="94"/>
      <c r="T6" s="125">
        <v>0</v>
      </c>
      <c r="U6" s="125">
        <v>0</v>
      </c>
      <c r="V6" s="95"/>
      <c r="W6" s="95"/>
      <c r="Z6" s="96"/>
      <c r="AA6" s="95"/>
      <c r="AB6" s="95"/>
      <c r="AC6" s="95"/>
      <c r="AD6" s="95"/>
      <c r="AE6" s="95"/>
      <c r="AH6" s="95"/>
      <c r="AJ6" s="97"/>
      <c r="AK6" s="98"/>
      <c r="AL6" s="95"/>
    </row>
    <row r="7" spans="1:38" s="90" customFormat="1" ht="17.2" customHeight="1" x14ac:dyDescent="0.55000000000000004">
      <c r="A7" s="91" t="s">
        <v>47</v>
      </c>
      <c r="B7" s="77" t="s">
        <v>48</v>
      </c>
      <c r="C7" s="92" t="s">
        <v>55</v>
      </c>
      <c r="D7" s="44" t="s">
        <v>56</v>
      </c>
      <c r="E7" s="82">
        <v>250604</v>
      </c>
      <c r="F7" s="121"/>
      <c r="G7" s="138">
        <v>17192</v>
      </c>
      <c r="H7" s="78">
        <v>14100</v>
      </c>
      <c r="I7" s="78">
        <v>0</v>
      </c>
      <c r="J7" s="78">
        <v>62463.543598863944</v>
      </c>
      <c r="K7" s="10">
        <v>49550.509000000005</v>
      </c>
      <c r="L7" s="78">
        <v>60345</v>
      </c>
      <c r="M7" s="78">
        <v>7708</v>
      </c>
      <c r="N7" s="85">
        <v>24854</v>
      </c>
      <c r="O7" s="78">
        <v>52301.022798074206</v>
      </c>
      <c r="P7" s="128">
        <v>3</v>
      </c>
      <c r="Q7" s="21">
        <v>62463.543598863944</v>
      </c>
      <c r="R7" s="93">
        <v>62463.543598863944</v>
      </c>
      <c r="S7" s="94"/>
      <c r="T7" s="125">
        <v>0</v>
      </c>
      <c r="U7" s="125">
        <v>0</v>
      </c>
      <c r="V7" s="95"/>
      <c r="W7" s="95"/>
      <c r="Z7" s="96"/>
      <c r="AA7" s="95"/>
      <c r="AB7" s="95"/>
      <c r="AC7" s="95"/>
      <c r="AD7" s="95"/>
      <c r="AE7" s="95"/>
      <c r="AH7" s="95"/>
      <c r="AJ7" s="97"/>
      <c r="AK7" s="98"/>
      <c r="AL7" s="95"/>
    </row>
    <row r="8" spans="1:38" ht="17.2" customHeight="1" x14ac:dyDescent="0.55000000000000004">
      <c r="A8" s="117" t="s">
        <v>47</v>
      </c>
      <c r="B8" s="118" t="s">
        <v>48</v>
      </c>
      <c r="C8" s="118" t="s">
        <v>57</v>
      </c>
      <c r="D8" s="44" t="s">
        <v>58</v>
      </c>
      <c r="E8" s="38">
        <v>290858</v>
      </c>
      <c r="F8" s="122"/>
      <c r="G8" s="138">
        <v>4581</v>
      </c>
      <c r="H8" s="109">
        <v>14642</v>
      </c>
      <c r="I8" s="78">
        <v>0</v>
      </c>
      <c r="J8" s="109">
        <v>61376.852098793592</v>
      </c>
      <c r="K8" s="10">
        <v>63849.537000000004</v>
      </c>
      <c r="L8" s="109">
        <v>64018</v>
      </c>
      <c r="M8" s="109">
        <v>0</v>
      </c>
      <c r="N8" s="110">
        <v>87632</v>
      </c>
      <c r="O8" s="109">
        <v>101676.93462297914</v>
      </c>
      <c r="P8" s="128">
        <v>3</v>
      </c>
      <c r="Q8" s="21">
        <v>101676.93462297914</v>
      </c>
      <c r="R8" s="119">
        <v>101676.93462297914</v>
      </c>
      <c r="S8" s="120"/>
      <c r="T8" s="125">
        <v>0</v>
      </c>
      <c r="U8" s="125">
        <v>0</v>
      </c>
    </row>
    <row r="9" spans="1:38" ht="17.2" customHeight="1" x14ac:dyDescent="0.55000000000000004">
      <c r="A9" s="117" t="s">
        <v>47</v>
      </c>
      <c r="B9" s="118" t="s">
        <v>48</v>
      </c>
      <c r="C9" s="118" t="s">
        <v>59</v>
      </c>
      <c r="D9" s="44" t="s">
        <v>60</v>
      </c>
      <c r="E9" s="38">
        <v>251727</v>
      </c>
      <c r="F9" s="122"/>
      <c r="G9" s="138">
        <v>4314</v>
      </c>
      <c r="H9" s="109">
        <v>14882</v>
      </c>
      <c r="I9" s="78">
        <v>0</v>
      </c>
      <c r="J9" s="109">
        <v>86052.284360984602</v>
      </c>
      <c r="K9" s="10">
        <v>46823.496000000006</v>
      </c>
      <c r="L9" s="109">
        <v>60616</v>
      </c>
      <c r="M9" s="109">
        <v>594</v>
      </c>
      <c r="N9" s="110">
        <v>15467</v>
      </c>
      <c r="O9" s="109">
        <v>35242.8125</v>
      </c>
      <c r="P9" s="128">
        <v>3</v>
      </c>
      <c r="Q9" s="21">
        <v>86052.284360984602</v>
      </c>
      <c r="R9" s="119">
        <v>86052.284360984602</v>
      </c>
      <c r="S9" s="120"/>
      <c r="T9" s="125">
        <v>0</v>
      </c>
      <c r="U9" s="125">
        <v>0</v>
      </c>
    </row>
    <row r="10" spans="1:38" ht="17.2" customHeight="1" x14ac:dyDescent="0.55000000000000004">
      <c r="A10" s="117" t="s">
        <v>47</v>
      </c>
      <c r="B10" s="118" t="s">
        <v>48</v>
      </c>
      <c r="C10" s="118" t="s">
        <v>61</v>
      </c>
      <c r="D10" s="44" t="s">
        <v>62</v>
      </c>
      <c r="E10" s="38">
        <v>304190</v>
      </c>
      <c r="F10" s="122"/>
      <c r="G10" s="138">
        <v>5795</v>
      </c>
      <c r="H10" s="109">
        <v>18883</v>
      </c>
      <c r="I10" s="78">
        <v>0</v>
      </c>
      <c r="J10" s="109">
        <v>55536.322348316877</v>
      </c>
      <c r="K10" s="10">
        <v>78482.653999999995</v>
      </c>
      <c r="L10" s="109"/>
      <c r="M10" s="109">
        <v>0</v>
      </c>
      <c r="N10" s="110">
        <v>91553</v>
      </c>
      <c r="O10" s="109">
        <v>0</v>
      </c>
      <c r="P10" s="128">
        <v>2</v>
      </c>
      <c r="Q10" s="21">
        <v>0</v>
      </c>
      <c r="R10" s="119">
        <v>0</v>
      </c>
      <c r="S10" s="120"/>
      <c r="T10" s="125">
        <v>0</v>
      </c>
      <c r="U10" s="125">
        <v>0</v>
      </c>
    </row>
    <row r="11" spans="1:38" ht="17.2" customHeight="1" x14ac:dyDescent="0.55000000000000004">
      <c r="A11" s="117" t="s">
        <v>47</v>
      </c>
      <c r="B11" s="118" t="s">
        <v>48</v>
      </c>
      <c r="C11" s="118" t="s">
        <v>63</v>
      </c>
      <c r="D11" s="44" t="s">
        <v>64</v>
      </c>
      <c r="E11" s="38">
        <v>315353</v>
      </c>
      <c r="F11" s="122"/>
      <c r="G11" s="138">
        <v>866</v>
      </c>
      <c r="H11" s="109">
        <v>20809</v>
      </c>
      <c r="I11" s="78">
        <v>0</v>
      </c>
      <c r="J11" s="109">
        <v>69956.475842207234</v>
      </c>
      <c r="K11" s="10">
        <v>55160.665999999997</v>
      </c>
      <c r="L11" s="109"/>
      <c r="M11" s="109">
        <v>0</v>
      </c>
      <c r="N11" s="110">
        <v>10627</v>
      </c>
      <c r="O11" s="109">
        <v>0</v>
      </c>
      <c r="P11" s="128">
        <v>2</v>
      </c>
      <c r="Q11" s="21">
        <v>0</v>
      </c>
      <c r="R11" s="119">
        <v>0</v>
      </c>
      <c r="S11" s="120"/>
      <c r="T11" s="125">
        <v>0</v>
      </c>
      <c r="U11" s="125">
        <v>0</v>
      </c>
    </row>
    <row r="12" spans="1:38" ht="17.2" customHeight="1" x14ac:dyDescent="0.55000000000000004">
      <c r="A12" s="117" t="s">
        <v>47</v>
      </c>
      <c r="B12" s="118" t="s">
        <v>48</v>
      </c>
      <c r="C12" s="118" t="s">
        <v>65</v>
      </c>
      <c r="D12" s="44" t="s">
        <v>66</v>
      </c>
      <c r="E12" s="38">
        <v>197983</v>
      </c>
      <c r="F12" s="122"/>
      <c r="G12" s="138">
        <v>3720</v>
      </c>
      <c r="H12" s="109">
        <v>14017</v>
      </c>
      <c r="I12" s="78">
        <v>0</v>
      </c>
      <c r="J12" s="109">
        <v>52231.106559636188</v>
      </c>
      <c r="K12" s="10">
        <v>24944.114000000001</v>
      </c>
      <c r="L12" s="109"/>
      <c r="M12" s="109">
        <v>0</v>
      </c>
      <c r="N12" s="110">
        <v>39526</v>
      </c>
      <c r="O12" s="109">
        <v>0</v>
      </c>
      <c r="P12" s="128">
        <v>2</v>
      </c>
      <c r="Q12" s="21">
        <v>0</v>
      </c>
      <c r="R12" s="119">
        <v>0</v>
      </c>
      <c r="S12" s="120"/>
      <c r="T12" s="125">
        <v>0</v>
      </c>
      <c r="U12" s="125">
        <v>0</v>
      </c>
    </row>
    <row r="13" spans="1:38" ht="17.2" customHeight="1" x14ac:dyDescent="0.55000000000000004">
      <c r="A13" s="117" t="s">
        <v>47</v>
      </c>
      <c r="B13" s="118" t="s">
        <v>48</v>
      </c>
      <c r="C13" s="118" t="s">
        <v>67</v>
      </c>
      <c r="D13" s="44" t="s">
        <v>68</v>
      </c>
      <c r="E13" s="38">
        <v>245471</v>
      </c>
      <c r="F13" s="122"/>
      <c r="G13" s="138">
        <v>14747</v>
      </c>
      <c r="H13" s="109">
        <v>21430.666666666672</v>
      </c>
      <c r="I13" s="78">
        <v>0</v>
      </c>
      <c r="J13" s="109">
        <v>109810.19703247334</v>
      </c>
      <c r="K13" s="10">
        <v>47825.646000000001</v>
      </c>
      <c r="L13" s="109">
        <v>54028</v>
      </c>
      <c r="M13" s="109">
        <v>79396</v>
      </c>
      <c r="N13" s="110">
        <v>38331</v>
      </c>
      <c r="O13" s="109">
        <v>71125.734974909559</v>
      </c>
      <c r="P13" s="128">
        <v>3</v>
      </c>
      <c r="Q13" s="21">
        <v>109810.19703247334</v>
      </c>
      <c r="R13" s="119">
        <v>109810.19703247334</v>
      </c>
      <c r="S13" s="120"/>
      <c r="T13" s="125">
        <v>0</v>
      </c>
      <c r="U13" s="125">
        <v>0</v>
      </c>
    </row>
    <row r="14" spans="1:38" ht="17.2" customHeight="1" x14ac:dyDescent="0.55000000000000004">
      <c r="A14" s="117" t="s">
        <v>47</v>
      </c>
      <c r="B14" s="118" t="s">
        <v>48</v>
      </c>
      <c r="C14" s="118" t="s">
        <v>69</v>
      </c>
      <c r="D14" s="44" t="s">
        <v>70</v>
      </c>
      <c r="E14" s="38">
        <v>188095</v>
      </c>
      <c r="F14" s="122"/>
      <c r="G14" s="138">
        <v>14065</v>
      </c>
      <c r="H14" s="109">
        <v>8377</v>
      </c>
      <c r="I14" s="78">
        <v>0</v>
      </c>
      <c r="J14" s="109">
        <v>45756.532073516319</v>
      </c>
      <c r="K14" s="10">
        <v>40032.311000000002</v>
      </c>
      <c r="L14" s="109"/>
      <c r="M14" s="109">
        <v>86666</v>
      </c>
      <c r="N14" s="110">
        <v>76878</v>
      </c>
      <c r="O14" s="109">
        <v>0</v>
      </c>
      <c r="P14" s="128">
        <v>2</v>
      </c>
      <c r="Q14" s="21">
        <v>0</v>
      </c>
      <c r="R14" s="119">
        <v>0</v>
      </c>
      <c r="S14" s="120"/>
      <c r="T14" s="125">
        <v>0</v>
      </c>
      <c r="U14" s="125">
        <v>0</v>
      </c>
    </row>
    <row r="15" spans="1:38" ht="17.2" customHeight="1" x14ac:dyDescent="0.55000000000000004">
      <c r="A15" s="117" t="s">
        <v>47</v>
      </c>
      <c r="B15" s="118" t="s">
        <v>48</v>
      </c>
      <c r="C15" s="118" t="s">
        <v>71</v>
      </c>
      <c r="D15" s="44" t="s">
        <v>72</v>
      </c>
      <c r="E15" s="38">
        <v>313081</v>
      </c>
      <c r="F15" s="122"/>
      <c r="G15" s="138">
        <v>1305</v>
      </c>
      <c r="H15" s="109">
        <v>19942</v>
      </c>
      <c r="I15" s="78">
        <v>0</v>
      </c>
      <c r="J15" s="109">
        <v>66219.264766428983</v>
      </c>
      <c r="K15" s="10">
        <v>23865.865000000005</v>
      </c>
      <c r="L15" s="109"/>
      <c r="M15" s="109">
        <v>0</v>
      </c>
      <c r="N15" s="110">
        <v>13167</v>
      </c>
      <c r="O15" s="109">
        <v>0</v>
      </c>
      <c r="P15" s="128">
        <v>2</v>
      </c>
      <c r="Q15" s="21">
        <v>0</v>
      </c>
      <c r="R15" s="119">
        <v>0</v>
      </c>
      <c r="S15" s="120"/>
      <c r="T15" s="125">
        <v>0</v>
      </c>
      <c r="U15" s="125">
        <v>0</v>
      </c>
    </row>
    <row r="16" spans="1:38" ht="17.2" customHeight="1" x14ac:dyDescent="0.55000000000000004">
      <c r="A16" s="117" t="s">
        <v>47</v>
      </c>
      <c r="B16" s="118" t="s">
        <v>48</v>
      </c>
      <c r="C16" s="118" t="s">
        <v>73</v>
      </c>
      <c r="D16" s="44" t="s">
        <v>74</v>
      </c>
      <c r="E16" s="38">
        <v>262408</v>
      </c>
      <c r="F16" s="122"/>
      <c r="G16" s="138">
        <v>3205</v>
      </c>
      <c r="H16" s="109">
        <v>22303.761904761908</v>
      </c>
      <c r="I16" s="78">
        <v>0</v>
      </c>
      <c r="J16" s="109">
        <v>89699.075151929253</v>
      </c>
      <c r="K16" s="10">
        <v>64988.824999999997</v>
      </c>
      <c r="L16" s="109">
        <v>57756</v>
      </c>
      <c r="M16" s="109">
        <v>79118</v>
      </c>
      <c r="N16" s="110">
        <v>168368</v>
      </c>
      <c r="O16" s="109">
        <v>102210.87142857144</v>
      </c>
      <c r="P16" s="128">
        <v>3</v>
      </c>
      <c r="Q16" s="21">
        <v>168368</v>
      </c>
      <c r="R16" s="119">
        <v>168368</v>
      </c>
      <c r="S16" s="120"/>
      <c r="T16" s="125">
        <v>0</v>
      </c>
      <c r="U16" s="125">
        <v>0</v>
      </c>
    </row>
    <row r="17" spans="1:21" ht="17.2" customHeight="1" x14ac:dyDescent="0.55000000000000004">
      <c r="A17" s="117" t="s">
        <v>47</v>
      </c>
      <c r="B17" s="118" t="s">
        <v>48</v>
      </c>
      <c r="C17" s="118" t="s">
        <v>75</v>
      </c>
      <c r="D17" s="44" t="s">
        <v>76</v>
      </c>
      <c r="E17" s="38">
        <v>292264</v>
      </c>
      <c r="F17" s="122"/>
      <c r="G17" s="138">
        <v>12927</v>
      </c>
      <c r="H17" s="109">
        <v>25749.547619047622</v>
      </c>
      <c r="I17" s="78">
        <v>0</v>
      </c>
      <c r="J17" s="109">
        <v>54717.445769429207</v>
      </c>
      <c r="K17" s="10">
        <v>52001.086000000003</v>
      </c>
      <c r="L17" s="109">
        <v>64327</v>
      </c>
      <c r="M17" s="109">
        <v>37000</v>
      </c>
      <c r="N17" s="110">
        <v>109856</v>
      </c>
      <c r="O17" s="109">
        <v>48373.174888003981</v>
      </c>
      <c r="P17" s="128">
        <v>3</v>
      </c>
      <c r="Q17" s="21">
        <v>109856</v>
      </c>
      <c r="R17" s="119">
        <v>109856</v>
      </c>
      <c r="S17" s="120"/>
      <c r="T17" s="125">
        <v>0</v>
      </c>
      <c r="U17" s="125">
        <v>0</v>
      </c>
    </row>
    <row r="18" spans="1:21" ht="17.2" customHeight="1" x14ac:dyDescent="0.55000000000000004">
      <c r="A18" s="117" t="s">
        <v>47</v>
      </c>
      <c r="B18" s="118" t="s">
        <v>48</v>
      </c>
      <c r="C18" s="118" t="s">
        <v>77</v>
      </c>
      <c r="D18" s="44" t="s">
        <v>78</v>
      </c>
      <c r="E18" s="38">
        <v>266030</v>
      </c>
      <c r="F18" s="122"/>
      <c r="G18" s="138">
        <v>7502</v>
      </c>
      <c r="H18" s="109">
        <v>16309</v>
      </c>
      <c r="I18" s="78">
        <v>0</v>
      </c>
      <c r="J18" s="109">
        <v>49278.360124875668</v>
      </c>
      <c r="K18" s="10">
        <v>50100.378000000004</v>
      </c>
      <c r="L18" s="109">
        <v>58553</v>
      </c>
      <c r="M18" s="109">
        <v>28717</v>
      </c>
      <c r="N18" s="110">
        <v>13154</v>
      </c>
      <c r="O18" s="109">
        <v>72722.010559006216</v>
      </c>
      <c r="P18" s="128">
        <v>3</v>
      </c>
      <c r="Q18" s="21">
        <v>72722.010559006216</v>
      </c>
      <c r="R18" s="119">
        <v>72722.010559006216</v>
      </c>
      <c r="S18" s="120"/>
      <c r="T18" s="125">
        <v>0</v>
      </c>
      <c r="U18" s="125">
        <v>0</v>
      </c>
    </row>
    <row r="19" spans="1:21" ht="17.2" customHeight="1" x14ac:dyDescent="0.55000000000000004">
      <c r="A19" s="117" t="s">
        <v>47</v>
      </c>
      <c r="B19" s="118" t="s">
        <v>48</v>
      </c>
      <c r="C19" s="118" t="s">
        <v>79</v>
      </c>
      <c r="D19" s="44" t="s">
        <v>80</v>
      </c>
      <c r="E19" s="38">
        <v>165015</v>
      </c>
      <c r="F19" s="122"/>
      <c r="G19" s="138">
        <v>8750</v>
      </c>
      <c r="H19" s="109">
        <v>13728</v>
      </c>
      <c r="I19" s="78">
        <v>0</v>
      </c>
      <c r="J19" s="109">
        <v>38020.894520057984</v>
      </c>
      <c r="K19" s="10">
        <v>34421.298999999999</v>
      </c>
      <c r="L19" s="109">
        <v>39736</v>
      </c>
      <c r="M19" s="109">
        <v>12485</v>
      </c>
      <c r="N19" s="110">
        <v>18327</v>
      </c>
      <c r="O19" s="109">
        <v>57059.65</v>
      </c>
      <c r="P19" s="128">
        <v>3</v>
      </c>
      <c r="Q19" s="21">
        <v>57059.65</v>
      </c>
      <c r="R19" s="119">
        <v>57059.65</v>
      </c>
      <c r="S19" s="120"/>
      <c r="T19" s="125">
        <v>0</v>
      </c>
      <c r="U19" s="125">
        <v>0</v>
      </c>
    </row>
    <row r="20" spans="1:21" ht="17.2" customHeight="1" x14ac:dyDescent="0.55000000000000004">
      <c r="A20" s="117" t="s">
        <v>47</v>
      </c>
      <c r="B20" s="118" t="s">
        <v>48</v>
      </c>
      <c r="C20" s="118" t="s">
        <v>81</v>
      </c>
      <c r="D20" s="44" t="s">
        <v>82</v>
      </c>
      <c r="E20" s="38">
        <v>248189</v>
      </c>
      <c r="F20" s="122"/>
      <c r="G20" s="138">
        <v>10320</v>
      </c>
      <c r="H20" s="109">
        <v>22740.523809523813</v>
      </c>
      <c r="I20" s="78">
        <v>0</v>
      </c>
      <c r="J20" s="109">
        <v>64350.003359145834</v>
      </c>
      <c r="K20" s="10">
        <v>25316.080000000002</v>
      </c>
      <c r="L20" s="109"/>
      <c r="M20" s="109">
        <v>0</v>
      </c>
      <c r="N20" s="110">
        <v>72736</v>
      </c>
      <c r="O20" s="109">
        <v>0</v>
      </c>
      <c r="P20" s="128">
        <v>2</v>
      </c>
      <c r="Q20" s="21">
        <v>0</v>
      </c>
      <c r="R20" s="119">
        <v>0</v>
      </c>
      <c r="S20" s="120"/>
      <c r="T20" s="125">
        <v>0</v>
      </c>
      <c r="U20" s="125">
        <v>0</v>
      </c>
    </row>
    <row r="21" spans="1:21" ht="17.2" customHeight="1" x14ac:dyDescent="0.55000000000000004">
      <c r="A21" s="117" t="s">
        <v>47</v>
      </c>
      <c r="B21" s="118" t="s">
        <v>48</v>
      </c>
      <c r="C21" s="118" t="s">
        <v>83</v>
      </c>
      <c r="D21" s="44" t="s">
        <v>84</v>
      </c>
      <c r="E21" s="38">
        <v>381422</v>
      </c>
      <c r="F21" s="122"/>
      <c r="G21" s="138">
        <v>5238</v>
      </c>
      <c r="H21" s="109">
        <v>26859</v>
      </c>
      <c r="I21" s="78">
        <v>0</v>
      </c>
      <c r="J21" s="109">
        <v>81062.900891875703</v>
      </c>
      <c r="K21" s="10">
        <v>38893.983</v>
      </c>
      <c r="L21" s="109">
        <v>83951</v>
      </c>
      <c r="M21" s="109">
        <v>95866</v>
      </c>
      <c r="N21" s="110">
        <v>5105</v>
      </c>
      <c r="O21" s="109">
        <v>89978.747993579454</v>
      </c>
      <c r="P21" s="128">
        <v>3</v>
      </c>
      <c r="Q21" s="21">
        <v>95866</v>
      </c>
      <c r="R21" s="119">
        <v>95866</v>
      </c>
      <c r="S21" s="120"/>
      <c r="T21" s="125">
        <v>0</v>
      </c>
      <c r="U21" s="125">
        <v>0</v>
      </c>
    </row>
    <row r="22" spans="1:21" ht="17.2" customHeight="1" x14ac:dyDescent="0.55000000000000004">
      <c r="A22" s="117" t="s">
        <v>47</v>
      </c>
      <c r="B22" s="118" t="s">
        <v>48</v>
      </c>
      <c r="C22" s="118" t="s">
        <v>85</v>
      </c>
      <c r="D22" s="44" t="s">
        <v>86</v>
      </c>
      <c r="E22" s="38">
        <v>101975</v>
      </c>
      <c r="F22" s="122"/>
      <c r="G22" s="138">
        <v>566</v>
      </c>
      <c r="H22" s="109">
        <v>8943.0952380952385</v>
      </c>
      <c r="I22" s="78">
        <v>0</v>
      </c>
      <c r="J22" s="109">
        <v>9421.8721597608692</v>
      </c>
      <c r="K22" s="10">
        <v>7791.7940000000017</v>
      </c>
      <c r="L22" s="109"/>
      <c r="M22" s="109">
        <v>0</v>
      </c>
      <c r="N22" s="110">
        <v>2028</v>
      </c>
      <c r="O22" s="109">
        <v>0</v>
      </c>
      <c r="P22" s="128">
        <v>2</v>
      </c>
      <c r="Q22" s="21">
        <v>0</v>
      </c>
      <c r="R22" s="119">
        <v>0</v>
      </c>
      <c r="S22" s="120"/>
      <c r="T22" s="125">
        <v>0</v>
      </c>
      <c r="U22" s="125">
        <v>0</v>
      </c>
    </row>
    <row r="23" spans="1:21" ht="17.2" customHeight="1" x14ac:dyDescent="0.55000000000000004">
      <c r="A23" s="117" t="s">
        <v>47</v>
      </c>
      <c r="B23" s="118" t="s">
        <v>48</v>
      </c>
      <c r="C23" s="118" t="s">
        <v>87</v>
      </c>
      <c r="D23" s="44" t="s">
        <v>88</v>
      </c>
      <c r="E23" s="38">
        <v>323370</v>
      </c>
      <c r="F23" s="122"/>
      <c r="G23" s="138">
        <v>9091</v>
      </c>
      <c r="H23" s="109">
        <v>20978</v>
      </c>
      <c r="I23" s="78">
        <v>0</v>
      </c>
      <c r="J23" s="109">
        <v>93742.100748402678</v>
      </c>
      <c r="K23" s="10">
        <v>44197.438999999998</v>
      </c>
      <c r="L23" s="109"/>
      <c r="M23" s="109">
        <v>0</v>
      </c>
      <c r="N23" s="110">
        <v>31722</v>
      </c>
      <c r="O23" s="109">
        <v>0</v>
      </c>
      <c r="P23" s="128">
        <v>2</v>
      </c>
      <c r="Q23" s="21">
        <v>0</v>
      </c>
      <c r="R23" s="119">
        <v>0</v>
      </c>
      <c r="S23" s="120"/>
      <c r="T23" s="125">
        <v>0</v>
      </c>
      <c r="U23" s="125">
        <v>0</v>
      </c>
    </row>
    <row r="24" spans="1:21" ht="17.2" customHeight="1" x14ac:dyDescent="0.55000000000000004">
      <c r="A24" s="117" t="s">
        <v>47</v>
      </c>
      <c r="B24" s="118" t="s">
        <v>48</v>
      </c>
      <c r="C24" s="118" t="s">
        <v>89</v>
      </c>
      <c r="D24" s="44" t="s">
        <v>90</v>
      </c>
      <c r="E24" s="38">
        <v>570233</v>
      </c>
      <c r="F24" s="122"/>
      <c r="G24" s="138">
        <v>22010</v>
      </c>
      <c r="H24" s="109">
        <v>52892.071428571435</v>
      </c>
      <c r="I24" s="78">
        <v>0</v>
      </c>
      <c r="J24" s="109">
        <v>67310.945358470955</v>
      </c>
      <c r="K24" s="10">
        <v>51799.846000000005</v>
      </c>
      <c r="L24" s="109">
        <v>137312</v>
      </c>
      <c r="M24" s="109">
        <v>115719</v>
      </c>
      <c r="N24" s="110">
        <v>21234</v>
      </c>
      <c r="O24" s="109">
        <v>58046.252475247529</v>
      </c>
      <c r="P24" s="128">
        <v>2</v>
      </c>
      <c r="Q24" s="21">
        <v>0</v>
      </c>
      <c r="R24" s="119">
        <v>0</v>
      </c>
      <c r="S24" s="120"/>
      <c r="T24" s="125">
        <v>0</v>
      </c>
      <c r="U24" s="125">
        <v>0</v>
      </c>
    </row>
    <row r="25" spans="1:21" ht="17.2" customHeight="1" x14ac:dyDescent="0.55000000000000004">
      <c r="A25" s="117" t="s">
        <v>91</v>
      </c>
      <c r="B25" s="118" t="s">
        <v>92</v>
      </c>
      <c r="C25" s="118" t="s">
        <v>93</v>
      </c>
      <c r="D25" s="44" t="s">
        <v>94</v>
      </c>
      <c r="E25" s="38">
        <v>80385</v>
      </c>
      <c r="F25" s="122"/>
      <c r="G25" s="138">
        <v>0</v>
      </c>
      <c r="H25" s="109">
        <v>19531.907419541967</v>
      </c>
      <c r="I25" s="78">
        <v>0</v>
      </c>
      <c r="J25" s="109">
        <v>0</v>
      </c>
      <c r="K25" s="10">
        <v>5948.49</v>
      </c>
      <c r="L25" s="109"/>
      <c r="M25" s="109">
        <v>0</v>
      </c>
      <c r="N25" s="110">
        <v>15997</v>
      </c>
      <c r="O25" s="109">
        <v>0</v>
      </c>
      <c r="P25" s="128">
        <v>2</v>
      </c>
      <c r="Q25" s="21">
        <v>0</v>
      </c>
      <c r="R25" s="119">
        <v>0</v>
      </c>
      <c r="S25" s="120" t="s">
        <v>188</v>
      </c>
      <c r="T25" s="125">
        <v>0</v>
      </c>
      <c r="U25" s="125">
        <v>0</v>
      </c>
    </row>
    <row r="26" spans="1:21" ht="17.2" customHeight="1" x14ac:dyDescent="0.55000000000000004">
      <c r="A26" s="117" t="s">
        <v>91</v>
      </c>
      <c r="B26" s="118" t="s">
        <v>92</v>
      </c>
      <c r="C26" s="118" t="s">
        <v>95</v>
      </c>
      <c r="D26" s="44" t="s">
        <v>96</v>
      </c>
      <c r="E26" s="38">
        <v>245197</v>
      </c>
      <c r="F26" s="122"/>
      <c r="G26" s="138">
        <v>11718</v>
      </c>
      <c r="H26" s="109">
        <v>33811.574086208631</v>
      </c>
      <c r="I26" s="78">
        <v>0</v>
      </c>
      <c r="J26" s="109">
        <v>133609.19097558787</v>
      </c>
      <c r="K26" s="10">
        <v>70259.543999999994</v>
      </c>
      <c r="L26" s="109">
        <v>61471</v>
      </c>
      <c r="M26" s="109">
        <v>20963</v>
      </c>
      <c r="N26" s="110">
        <v>14201</v>
      </c>
      <c r="O26" s="109">
        <v>103007.34975630432</v>
      </c>
      <c r="P26" s="128">
        <v>2</v>
      </c>
      <c r="Q26" s="21">
        <v>0</v>
      </c>
      <c r="R26" s="119">
        <v>0</v>
      </c>
      <c r="S26" s="120"/>
      <c r="T26" s="125">
        <v>0</v>
      </c>
      <c r="U26" s="125">
        <v>0</v>
      </c>
    </row>
    <row r="27" spans="1:21" ht="17.2" customHeight="1" x14ac:dyDescent="0.55000000000000004">
      <c r="A27" s="117" t="s">
        <v>91</v>
      </c>
      <c r="B27" s="118" t="s">
        <v>92</v>
      </c>
      <c r="C27" s="118" t="s">
        <v>97</v>
      </c>
      <c r="D27" s="44" t="s">
        <v>98</v>
      </c>
      <c r="E27" s="38">
        <v>233112</v>
      </c>
      <c r="F27" s="122"/>
      <c r="G27" s="138">
        <v>171239</v>
      </c>
      <c r="H27" s="109">
        <v>33720.097895732448</v>
      </c>
      <c r="I27" s="78">
        <v>0</v>
      </c>
      <c r="J27" s="109">
        <v>102004.30803123969</v>
      </c>
      <c r="K27" s="10">
        <v>92715.141999999993</v>
      </c>
      <c r="L27" s="109">
        <v>71029</v>
      </c>
      <c r="M27" s="109">
        <v>112512</v>
      </c>
      <c r="N27" s="110">
        <v>99915</v>
      </c>
      <c r="O27" s="109">
        <v>210574.1</v>
      </c>
      <c r="P27" s="128">
        <v>3</v>
      </c>
      <c r="Q27" s="21">
        <v>210574.1</v>
      </c>
      <c r="R27" s="119">
        <v>210574.1</v>
      </c>
      <c r="S27" s="120"/>
      <c r="T27" s="125">
        <v>0</v>
      </c>
      <c r="U27" s="125">
        <v>0</v>
      </c>
    </row>
    <row r="28" spans="1:21" ht="17.2" customHeight="1" x14ac:dyDescent="0.55000000000000004">
      <c r="A28" s="117" t="s">
        <v>91</v>
      </c>
      <c r="B28" s="118" t="s">
        <v>92</v>
      </c>
      <c r="C28" s="118" t="s">
        <v>99</v>
      </c>
      <c r="D28" s="44" t="s">
        <v>100</v>
      </c>
      <c r="E28" s="38">
        <v>234872</v>
      </c>
      <c r="F28" s="122"/>
      <c r="G28" s="138">
        <v>317</v>
      </c>
      <c r="H28" s="109">
        <v>34314.002657637211</v>
      </c>
      <c r="I28" s="78">
        <v>0</v>
      </c>
      <c r="J28" s="109">
        <v>42780.337950476474</v>
      </c>
      <c r="K28" s="10">
        <v>41384.198000000004</v>
      </c>
      <c r="L28" s="109"/>
      <c r="M28" s="109">
        <v>0</v>
      </c>
      <c r="N28" s="110">
        <v>4561</v>
      </c>
      <c r="O28" s="109">
        <v>0</v>
      </c>
      <c r="P28" s="128">
        <v>2</v>
      </c>
      <c r="Q28" s="21">
        <v>0</v>
      </c>
      <c r="R28" s="119">
        <v>0</v>
      </c>
      <c r="S28" s="120"/>
      <c r="T28" s="125">
        <v>0</v>
      </c>
      <c r="U28" s="125">
        <v>0</v>
      </c>
    </row>
    <row r="29" spans="1:21" ht="17.2" customHeight="1" x14ac:dyDescent="0.55000000000000004">
      <c r="A29" s="117" t="s">
        <v>91</v>
      </c>
      <c r="B29" s="118" t="s">
        <v>92</v>
      </c>
      <c r="C29" s="118" t="s">
        <v>101</v>
      </c>
      <c r="D29" s="44" t="s">
        <v>102</v>
      </c>
      <c r="E29" s="38">
        <v>450926</v>
      </c>
      <c r="F29" s="122"/>
      <c r="G29" s="138">
        <v>45579</v>
      </c>
      <c r="H29" s="109">
        <v>26473.502657637204</v>
      </c>
      <c r="I29" s="78">
        <v>0</v>
      </c>
      <c r="J29" s="109">
        <v>138644.16127217773</v>
      </c>
      <c r="K29" s="10">
        <v>95019.22600000001</v>
      </c>
      <c r="L29" s="109">
        <v>107771</v>
      </c>
      <c r="M29" s="109">
        <v>45339</v>
      </c>
      <c r="N29" s="110">
        <v>14480</v>
      </c>
      <c r="O29" s="109">
        <v>76582.881926406932</v>
      </c>
      <c r="P29" s="128">
        <v>3</v>
      </c>
      <c r="Q29" s="21">
        <v>138644.16127217773</v>
      </c>
      <c r="R29" s="119">
        <v>138644.16127217773</v>
      </c>
      <c r="S29" s="120"/>
      <c r="T29" s="125">
        <v>0</v>
      </c>
      <c r="U29" s="125">
        <v>0</v>
      </c>
    </row>
    <row r="30" spans="1:21" ht="17.2" customHeight="1" x14ac:dyDescent="0.55000000000000004">
      <c r="A30" s="117" t="s">
        <v>91</v>
      </c>
      <c r="B30" s="118" t="s">
        <v>92</v>
      </c>
      <c r="C30" s="118" t="s">
        <v>103</v>
      </c>
      <c r="D30" s="44" t="s">
        <v>104</v>
      </c>
      <c r="E30" s="38">
        <v>110736</v>
      </c>
      <c r="F30" s="122"/>
      <c r="G30" s="138">
        <v>10200</v>
      </c>
      <c r="H30" s="109">
        <v>23770.612181446733</v>
      </c>
      <c r="I30" s="78">
        <v>0</v>
      </c>
      <c r="J30" s="109">
        <v>41576.407483474723</v>
      </c>
      <c r="K30" s="10">
        <v>28696.739999999998</v>
      </c>
      <c r="L30" s="109">
        <v>26466</v>
      </c>
      <c r="M30" s="109">
        <v>0</v>
      </c>
      <c r="N30" s="110">
        <v>43098</v>
      </c>
      <c r="O30" s="109">
        <v>35899.07024793388</v>
      </c>
      <c r="P30" s="128">
        <v>3</v>
      </c>
      <c r="Q30" s="21">
        <v>43098</v>
      </c>
      <c r="R30" s="119">
        <v>43098</v>
      </c>
      <c r="S30" s="120"/>
      <c r="T30" s="125">
        <v>0</v>
      </c>
      <c r="U30" s="125">
        <v>0</v>
      </c>
    </row>
    <row r="31" spans="1:21" ht="17.2" customHeight="1" x14ac:dyDescent="0.55000000000000004">
      <c r="A31" s="117" t="s">
        <v>91</v>
      </c>
      <c r="B31" s="118" t="s">
        <v>92</v>
      </c>
      <c r="C31" s="118" t="s">
        <v>105</v>
      </c>
      <c r="D31" s="44" t="s">
        <v>106</v>
      </c>
      <c r="E31" s="38">
        <v>176533</v>
      </c>
      <c r="F31" s="122"/>
      <c r="G31" s="138">
        <v>110182</v>
      </c>
      <c r="H31" s="109">
        <v>28763.669324303875</v>
      </c>
      <c r="I31" s="78">
        <v>0</v>
      </c>
      <c r="J31" s="109">
        <v>91060.753661859198</v>
      </c>
      <c r="K31" s="10">
        <v>76040.266000000003</v>
      </c>
      <c r="L31" s="109">
        <v>62210</v>
      </c>
      <c r="M31" s="109">
        <v>123635</v>
      </c>
      <c r="N31" s="110">
        <v>85993</v>
      </c>
      <c r="O31" s="109">
        <v>138366.61895317337</v>
      </c>
      <c r="P31" s="128">
        <v>3</v>
      </c>
      <c r="Q31" s="21">
        <v>138366.61895317337</v>
      </c>
      <c r="R31" s="119">
        <v>138366.61895317337</v>
      </c>
      <c r="S31" s="120"/>
      <c r="T31" s="125">
        <v>62210</v>
      </c>
      <c r="U31" s="125">
        <v>0</v>
      </c>
    </row>
    <row r="32" spans="1:21" ht="17.2" customHeight="1" x14ac:dyDescent="0.55000000000000004">
      <c r="A32" s="117" t="s">
        <v>91</v>
      </c>
      <c r="B32" s="118" t="s">
        <v>92</v>
      </c>
      <c r="C32" s="118" t="s">
        <v>107</v>
      </c>
      <c r="D32" s="44" t="s">
        <v>108</v>
      </c>
      <c r="E32" s="38">
        <v>139920</v>
      </c>
      <c r="F32" s="122"/>
      <c r="G32" s="138">
        <v>107707</v>
      </c>
      <c r="H32" s="109">
        <v>24297.264562399112</v>
      </c>
      <c r="I32" s="78">
        <v>0</v>
      </c>
      <c r="J32" s="109">
        <v>77097.99094037569</v>
      </c>
      <c r="K32" s="10">
        <v>57042.705999999998</v>
      </c>
      <c r="L32" s="109">
        <v>42634</v>
      </c>
      <c r="M32" s="109">
        <v>96963</v>
      </c>
      <c r="N32" s="110">
        <v>80210</v>
      </c>
      <c r="O32" s="109">
        <v>129855.1</v>
      </c>
      <c r="P32" s="128">
        <v>4</v>
      </c>
      <c r="Q32" s="21">
        <v>129855.1</v>
      </c>
      <c r="R32" s="119">
        <v>129855.1</v>
      </c>
      <c r="S32" s="120"/>
      <c r="T32" s="125">
        <v>129855.1</v>
      </c>
      <c r="U32" s="125">
        <v>129855.1</v>
      </c>
    </row>
    <row r="33" spans="1:37" ht="17.2" customHeight="1" x14ac:dyDescent="0.55000000000000004">
      <c r="A33" s="117" t="s">
        <v>91</v>
      </c>
      <c r="B33" s="118" t="s">
        <v>92</v>
      </c>
      <c r="C33" s="118" t="s">
        <v>109</v>
      </c>
      <c r="D33" s="44" t="s">
        <v>110</v>
      </c>
      <c r="E33" s="38">
        <v>206460</v>
      </c>
      <c r="F33" s="122"/>
      <c r="G33" s="138">
        <v>12259</v>
      </c>
      <c r="H33" s="109">
        <v>31909.240752875303</v>
      </c>
      <c r="I33" s="78">
        <v>0</v>
      </c>
      <c r="J33" s="109">
        <v>59180.699548174001</v>
      </c>
      <c r="K33" s="10">
        <v>43969.225000000006</v>
      </c>
      <c r="L33" s="109">
        <v>72757</v>
      </c>
      <c r="M33" s="109">
        <v>7999</v>
      </c>
      <c r="N33" s="110">
        <v>40278</v>
      </c>
      <c r="O33" s="109">
        <v>20762.693403607223</v>
      </c>
      <c r="P33" s="128">
        <v>4</v>
      </c>
      <c r="Q33" s="21">
        <v>72757</v>
      </c>
      <c r="R33" s="119">
        <v>72757</v>
      </c>
      <c r="S33" s="120"/>
      <c r="T33" s="125">
        <v>72757</v>
      </c>
      <c r="U33" s="125">
        <v>72757</v>
      </c>
    </row>
    <row r="34" spans="1:37" ht="17.2" customHeight="1" x14ac:dyDescent="0.55000000000000004">
      <c r="A34" s="117" t="s">
        <v>91</v>
      </c>
      <c r="B34" s="118" t="s">
        <v>92</v>
      </c>
      <c r="C34" s="118" t="s">
        <v>111</v>
      </c>
      <c r="D34" s="44" t="s">
        <v>112</v>
      </c>
      <c r="E34" s="38">
        <v>62747</v>
      </c>
      <c r="F34" s="122"/>
      <c r="G34" s="138">
        <v>0</v>
      </c>
      <c r="H34" s="109">
        <v>17830.716943351494</v>
      </c>
      <c r="I34" s="78">
        <v>0</v>
      </c>
      <c r="J34" s="109">
        <v>0</v>
      </c>
      <c r="K34" s="10">
        <v>10917.978000000003</v>
      </c>
      <c r="L34" s="109">
        <v>17877</v>
      </c>
      <c r="M34" s="109">
        <v>18301</v>
      </c>
      <c r="N34" s="110">
        <v>10406</v>
      </c>
      <c r="O34" s="109">
        <v>18888.958333333336</v>
      </c>
      <c r="P34" s="128">
        <v>3</v>
      </c>
      <c r="Q34" s="21">
        <v>18888.958333333336</v>
      </c>
      <c r="R34" s="119"/>
      <c r="S34" s="120" t="s">
        <v>188</v>
      </c>
      <c r="T34" s="125">
        <v>0</v>
      </c>
      <c r="U34" s="125">
        <v>0</v>
      </c>
    </row>
    <row r="35" spans="1:37" ht="17.2" customHeight="1" x14ac:dyDescent="0.55000000000000004">
      <c r="A35" s="117" t="s">
        <v>91</v>
      </c>
      <c r="B35" s="118" t="s">
        <v>92</v>
      </c>
      <c r="C35" s="118" t="s">
        <v>113</v>
      </c>
      <c r="D35" s="44" t="s">
        <v>114</v>
      </c>
      <c r="E35" s="38">
        <v>267125</v>
      </c>
      <c r="F35" s="122"/>
      <c r="G35" s="138">
        <v>163325</v>
      </c>
      <c r="H35" s="109">
        <v>33813.931229065776</v>
      </c>
      <c r="I35" s="78">
        <v>0</v>
      </c>
      <c r="J35" s="109">
        <v>168833.71322577659</v>
      </c>
      <c r="K35" s="10">
        <v>109359.715</v>
      </c>
      <c r="L35" s="109">
        <v>81393</v>
      </c>
      <c r="M35" s="109">
        <v>162436</v>
      </c>
      <c r="N35" s="110">
        <v>77779</v>
      </c>
      <c r="O35" s="109">
        <v>248053.19999999998</v>
      </c>
      <c r="P35" s="128">
        <v>3</v>
      </c>
      <c r="Q35" s="21">
        <v>248053.19999999998</v>
      </c>
      <c r="R35" s="119">
        <v>248053.19999999998</v>
      </c>
      <c r="S35" s="120"/>
      <c r="T35" s="125">
        <v>0</v>
      </c>
      <c r="U35" s="125">
        <v>0</v>
      </c>
    </row>
    <row r="36" spans="1:37" ht="17.2" customHeight="1" x14ac:dyDescent="0.55000000000000004">
      <c r="A36" s="117" t="s">
        <v>91</v>
      </c>
      <c r="B36" s="118" t="s">
        <v>92</v>
      </c>
      <c r="C36" s="118" t="s">
        <v>115</v>
      </c>
      <c r="D36" s="44" t="s">
        <v>116</v>
      </c>
      <c r="E36" s="38">
        <v>253981</v>
      </c>
      <c r="F36" s="122"/>
      <c r="G36" s="138">
        <v>22314</v>
      </c>
      <c r="H36" s="109">
        <v>33161.216943351501</v>
      </c>
      <c r="I36" s="78">
        <v>0</v>
      </c>
      <c r="J36" s="109">
        <v>107298.64002530969</v>
      </c>
      <c r="K36" s="10">
        <v>55027.878000000004</v>
      </c>
      <c r="L36" s="109"/>
      <c r="M36" s="109">
        <v>38477</v>
      </c>
      <c r="N36" s="110"/>
      <c r="O36" s="109">
        <v>0</v>
      </c>
      <c r="P36" s="128">
        <v>2</v>
      </c>
      <c r="Q36" s="21">
        <v>0</v>
      </c>
      <c r="R36" s="119">
        <v>0</v>
      </c>
      <c r="S36" s="120"/>
      <c r="T36" s="125">
        <v>0</v>
      </c>
      <c r="U36" s="125">
        <v>0</v>
      </c>
    </row>
    <row r="37" spans="1:37" ht="17.2" customHeight="1" x14ac:dyDescent="0.55000000000000004">
      <c r="A37" s="117" t="s">
        <v>91</v>
      </c>
      <c r="B37" s="118" t="s">
        <v>92</v>
      </c>
      <c r="C37" s="118" t="s">
        <v>117</v>
      </c>
      <c r="D37" s="44" t="s">
        <v>118</v>
      </c>
      <c r="E37" s="38">
        <v>866216</v>
      </c>
      <c r="F37" s="122"/>
      <c r="G37" s="138">
        <v>268018</v>
      </c>
      <c r="H37" s="109">
        <v>89778.145514779259</v>
      </c>
      <c r="I37" s="78">
        <v>0</v>
      </c>
      <c r="J37" s="109">
        <v>371984.38293212489</v>
      </c>
      <c r="K37" s="10">
        <v>256338.26699999999</v>
      </c>
      <c r="L37" s="109">
        <v>295899</v>
      </c>
      <c r="M37" s="109">
        <v>380993</v>
      </c>
      <c r="N37" s="110">
        <v>275829</v>
      </c>
      <c r="O37" s="109">
        <v>331485</v>
      </c>
      <c r="P37" s="128">
        <v>4</v>
      </c>
      <c r="Q37" s="21">
        <v>380993</v>
      </c>
      <c r="R37" s="119">
        <v>380993</v>
      </c>
      <c r="S37" s="120"/>
      <c r="T37" s="125">
        <v>380993</v>
      </c>
      <c r="U37" s="125">
        <v>380993</v>
      </c>
    </row>
    <row r="38" spans="1:37" ht="17.2" customHeight="1" x14ac:dyDescent="0.55000000000000004">
      <c r="A38" s="117" t="s">
        <v>91</v>
      </c>
      <c r="B38" s="118" t="s">
        <v>92</v>
      </c>
      <c r="C38" s="137" t="s">
        <v>119</v>
      </c>
      <c r="D38" s="44" t="s">
        <v>120</v>
      </c>
      <c r="E38" s="38">
        <v>116624</v>
      </c>
      <c r="F38" s="122"/>
      <c r="G38" s="138">
        <v>24794</v>
      </c>
      <c r="H38" s="109">
        <v>23388.33599097054</v>
      </c>
      <c r="I38" s="78">
        <v>0</v>
      </c>
      <c r="J38" s="109">
        <v>88329.088479837432</v>
      </c>
      <c r="K38" s="10">
        <v>33298.255000000005</v>
      </c>
      <c r="L38" s="109">
        <v>41098</v>
      </c>
      <c r="M38" s="109">
        <v>45093</v>
      </c>
      <c r="N38" s="110">
        <v>58957</v>
      </c>
      <c r="O38" s="109">
        <v>65760.273231031548</v>
      </c>
      <c r="P38" s="128">
        <v>3</v>
      </c>
      <c r="Q38" s="21">
        <v>88329.088479837432</v>
      </c>
      <c r="R38" s="119">
        <v>88329.088479837432</v>
      </c>
      <c r="S38" s="120"/>
      <c r="T38" s="125">
        <v>41098</v>
      </c>
      <c r="U38" s="125">
        <v>0</v>
      </c>
    </row>
    <row r="39" spans="1:37" ht="17.2" customHeight="1" x14ac:dyDescent="0.55000000000000004">
      <c r="A39" s="117" t="s">
        <v>91</v>
      </c>
      <c r="B39" s="118" t="s">
        <v>92</v>
      </c>
      <c r="C39" s="137" t="s">
        <v>121</v>
      </c>
      <c r="D39" s="44" t="s">
        <v>122</v>
      </c>
      <c r="E39" s="38">
        <v>40949</v>
      </c>
      <c r="F39" s="122"/>
      <c r="G39" s="138">
        <v>40949</v>
      </c>
      <c r="H39" s="109">
        <v>15162.978848113444</v>
      </c>
      <c r="I39" s="78">
        <v>0</v>
      </c>
      <c r="J39" s="109">
        <v>86622.986295632087</v>
      </c>
      <c r="K39" s="10">
        <v>16911.937000000002</v>
      </c>
      <c r="L39" s="109">
        <v>12477</v>
      </c>
      <c r="M39" s="109">
        <v>29663</v>
      </c>
      <c r="N39" s="110">
        <v>40949</v>
      </c>
      <c r="O39" s="109">
        <v>40842.400000000001</v>
      </c>
      <c r="P39" s="128">
        <v>3</v>
      </c>
      <c r="Q39" s="21">
        <v>86622.986295632087</v>
      </c>
      <c r="R39" s="119">
        <v>86622.986295632087</v>
      </c>
      <c r="S39" s="120"/>
      <c r="T39" s="125">
        <v>0</v>
      </c>
      <c r="U39" s="125">
        <v>0</v>
      </c>
    </row>
    <row r="40" spans="1:37" ht="17.2" customHeight="1" x14ac:dyDescent="0.55000000000000004">
      <c r="A40" s="117" t="s">
        <v>91</v>
      </c>
      <c r="B40" s="118" t="s">
        <v>92</v>
      </c>
      <c r="C40" s="118" t="s">
        <v>123</v>
      </c>
      <c r="D40" s="44" t="s">
        <v>124</v>
      </c>
      <c r="E40" s="139">
        <v>270899</v>
      </c>
      <c r="F40" s="140"/>
      <c r="G40" s="138">
        <v>88051</v>
      </c>
      <c r="H40" s="10">
        <v>33904.859800494392</v>
      </c>
      <c r="I40" s="10">
        <v>0</v>
      </c>
      <c r="J40" s="10">
        <v>107855.41120923084</v>
      </c>
      <c r="K40" s="10">
        <v>84218.426999999996</v>
      </c>
      <c r="L40" s="10">
        <v>95465</v>
      </c>
      <c r="M40" s="10">
        <v>144148</v>
      </c>
      <c r="N40" s="12">
        <v>129679</v>
      </c>
      <c r="O40" s="10">
        <v>154287.42499999999</v>
      </c>
      <c r="P40" s="142">
        <v>4</v>
      </c>
      <c r="Q40" s="21">
        <v>154287.42499999999</v>
      </c>
      <c r="R40" s="141">
        <v>154287.42499999999</v>
      </c>
      <c r="S40" s="120"/>
      <c r="T40" s="143">
        <v>154287.42499999999</v>
      </c>
      <c r="U40" s="143">
        <v>154287.42499999999</v>
      </c>
      <c r="AJ40" s="144"/>
      <c r="AK40" s="145"/>
    </row>
    <row r="41" spans="1:37" ht="17.2" customHeight="1" x14ac:dyDescent="0.55000000000000004">
      <c r="A41" s="117" t="s">
        <v>91</v>
      </c>
      <c r="B41" s="118" t="s">
        <v>92</v>
      </c>
      <c r="C41" s="118" t="s">
        <v>125</v>
      </c>
      <c r="D41" s="44" t="s">
        <v>126</v>
      </c>
      <c r="E41" s="38">
        <v>85387</v>
      </c>
      <c r="F41" s="122"/>
      <c r="G41" s="138">
        <v>0</v>
      </c>
      <c r="H41" s="109">
        <v>20201.288371922965</v>
      </c>
      <c r="I41" s="78">
        <v>0</v>
      </c>
      <c r="J41" s="109">
        <v>0</v>
      </c>
      <c r="K41" s="10">
        <v>14857.338</v>
      </c>
      <c r="L41" s="109">
        <v>24327</v>
      </c>
      <c r="M41" s="109">
        <v>14985</v>
      </c>
      <c r="N41" s="110">
        <v>14198</v>
      </c>
      <c r="O41" s="109">
        <v>18732.371794871793</v>
      </c>
      <c r="P41" s="128">
        <v>3</v>
      </c>
      <c r="Q41" s="21">
        <v>24327</v>
      </c>
      <c r="R41" s="119"/>
      <c r="S41" s="120" t="s">
        <v>188</v>
      </c>
      <c r="T41" s="125">
        <v>0</v>
      </c>
      <c r="U41" s="125">
        <v>0</v>
      </c>
    </row>
    <row r="42" spans="1:37" ht="17.2" customHeight="1" x14ac:dyDescent="0.55000000000000004">
      <c r="A42" s="117" t="s">
        <v>91</v>
      </c>
      <c r="B42" s="118" t="s">
        <v>92</v>
      </c>
      <c r="C42" s="118" t="s">
        <v>127</v>
      </c>
      <c r="D42" s="44" t="s">
        <v>128</v>
      </c>
      <c r="E42" s="38">
        <v>158091</v>
      </c>
      <c r="F42" s="122"/>
      <c r="G42" s="138">
        <v>3505</v>
      </c>
      <c r="H42" s="109">
        <v>25634.431229065827</v>
      </c>
      <c r="I42" s="78">
        <v>0</v>
      </c>
      <c r="J42" s="109">
        <v>36226.812686757243</v>
      </c>
      <c r="K42" s="10">
        <v>29155.07</v>
      </c>
      <c r="L42" s="109"/>
      <c r="M42" s="109">
        <v>0</v>
      </c>
      <c r="N42" s="110">
        <v>2698</v>
      </c>
      <c r="O42" s="109">
        <v>0</v>
      </c>
      <c r="P42" s="128">
        <v>2</v>
      </c>
      <c r="Q42" s="21">
        <v>0</v>
      </c>
      <c r="R42" s="119">
        <v>0</v>
      </c>
      <c r="S42" s="120"/>
      <c r="T42" s="125">
        <v>0</v>
      </c>
      <c r="U42" s="125">
        <v>0</v>
      </c>
    </row>
    <row r="43" spans="1:37" ht="17.2" customHeight="1" x14ac:dyDescent="0.55000000000000004">
      <c r="A43" s="117" t="s">
        <v>91</v>
      </c>
      <c r="B43" s="118" t="s">
        <v>92</v>
      </c>
      <c r="C43" s="118" t="s">
        <v>129</v>
      </c>
      <c r="D43" s="44" t="s">
        <v>130</v>
      </c>
      <c r="E43" s="38">
        <v>131460</v>
      </c>
      <c r="F43" s="122"/>
      <c r="G43" s="138">
        <v>42039</v>
      </c>
      <c r="H43" s="109">
        <v>23236.264562399301</v>
      </c>
      <c r="I43" s="78">
        <v>0</v>
      </c>
      <c r="J43" s="109">
        <v>57586.343816110922</v>
      </c>
      <c r="K43" s="10">
        <v>50408.292000000001</v>
      </c>
      <c r="L43" s="109">
        <v>46327</v>
      </c>
      <c r="M43" s="109">
        <v>40250</v>
      </c>
      <c r="N43" s="110">
        <v>63019</v>
      </c>
      <c r="O43" s="109">
        <v>65598.184615384613</v>
      </c>
      <c r="P43" s="128">
        <v>3</v>
      </c>
      <c r="Q43" s="21">
        <v>65598.184615384613</v>
      </c>
      <c r="R43" s="119">
        <v>65598.184615384613</v>
      </c>
      <c r="S43" s="120"/>
      <c r="T43" s="125">
        <v>46327</v>
      </c>
      <c r="U43" s="125">
        <v>0</v>
      </c>
    </row>
    <row r="44" spans="1:37" ht="17.2" customHeight="1" x14ac:dyDescent="0.55000000000000004">
      <c r="A44" s="117" t="s">
        <v>91</v>
      </c>
      <c r="B44" s="118" t="s">
        <v>92</v>
      </c>
      <c r="C44" s="137" t="s">
        <v>131</v>
      </c>
      <c r="D44" s="44" t="s">
        <v>132</v>
      </c>
      <c r="E44" s="38">
        <v>176214</v>
      </c>
      <c r="F44" s="122"/>
      <c r="G44" s="138">
        <v>38107</v>
      </c>
      <c r="H44" s="109">
        <v>29157.788371922965</v>
      </c>
      <c r="I44" s="78">
        <v>0</v>
      </c>
      <c r="J44" s="109">
        <v>186557.89517337276</v>
      </c>
      <c r="K44" s="10">
        <v>44020.948000000004</v>
      </c>
      <c r="L44" s="109">
        <v>62098</v>
      </c>
      <c r="M44" s="109">
        <v>52393</v>
      </c>
      <c r="N44" s="110">
        <v>21820</v>
      </c>
      <c r="O44" s="109">
        <v>71164.052380952373</v>
      </c>
      <c r="P44" s="128">
        <v>4</v>
      </c>
      <c r="Q44" s="21">
        <v>186557.89517337276</v>
      </c>
      <c r="R44" s="119">
        <v>186557.89517337276</v>
      </c>
      <c r="S44" s="120"/>
      <c r="T44" s="125">
        <v>186557.89517337276</v>
      </c>
      <c r="U44" s="125">
        <v>186557.89517337276</v>
      </c>
    </row>
    <row r="45" spans="1:37" ht="17.2" customHeight="1" x14ac:dyDescent="0.55000000000000004">
      <c r="A45" s="117" t="s">
        <v>91</v>
      </c>
      <c r="B45" s="118" t="s">
        <v>92</v>
      </c>
      <c r="C45" s="118" t="s">
        <v>133</v>
      </c>
      <c r="D45" s="44" t="s">
        <v>134</v>
      </c>
      <c r="E45" s="38">
        <v>1103204</v>
      </c>
      <c r="F45" s="122"/>
      <c r="G45" s="138">
        <v>206011</v>
      </c>
      <c r="H45" s="109">
        <v>106236.1693243039</v>
      </c>
      <c r="I45" s="78">
        <v>0</v>
      </c>
      <c r="J45" s="109">
        <v>406087.17486412841</v>
      </c>
      <c r="K45" s="10">
        <v>303625.67800000001</v>
      </c>
      <c r="L45" s="109">
        <v>376854</v>
      </c>
      <c r="M45" s="109">
        <v>161487</v>
      </c>
      <c r="N45" s="110">
        <v>206011</v>
      </c>
      <c r="O45" s="109">
        <v>276308.74705882353</v>
      </c>
      <c r="P45" s="128">
        <v>4</v>
      </c>
      <c r="Q45" s="21">
        <v>406087.17486412841</v>
      </c>
      <c r="R45" s="119">
        <v>406087.17486412841</v>
      </c>
      <c r="S45" s="120"/>
      <c r="T45" s="125">
        <v>406087.17486412841</v>
      </c>
      <c r="U45" s="125">
        <v>406087.17486412841</v>
      </c>
    </row>
    <row r="46" spans="1:37" ht="17.2" customHeight="1" x14ac:dyDescent="0.55000000000000004">
      <c r="A46" s="117" t="s">
        <v>91</v>
      </c>
      <c r="B46" s="118" t="s">
        <v>92</v>
      </c>
      <c r="C46" s="118" t="s">
        <v>135</v>
      </c>
      <c r="D46" s="44" t="s">
        <v>136</v>
      </c>
      <c r="E46" s="38">
        <v>30137</v>
      </c>
      <c r="F46" s="122"/>
      <c r="G46" s="138">
        <v>0</v>
      </c>
      <c r="H46" s="109">
        <v>14620.216943351539</v>
      </c>
      <c r="I46" s="78">
        <v>0</v>
      </c>
      <c r="J46" s="109">
        <v>0</v>
      </c>
      <c r="K46" s="10">
        <v>5243.8379999999997</v>
      </c>
      <c r="L46" s="109">
        <v>10620</v>
      </c>
      <c r="M46" s="109">
        <v>120</v>
      </c>
      <c r="N46" s="110" t="s">
        <v>187</v>
      </c>
      <c r="O46" s="109">
        <v>29257</v>
      </c>
      <c r="P46" s="128">
        <v>3</v>
      </c>
      <c r="Q46" s="21">
        <v>29257</v>
      </c>
      <c r="R46" s="119"/>
      <c r="S46" s="120" t="s">
        <v>188</v>
      </c>
      <c r="T46" s="125">
        <v>10620</v>
      </c>
      <c r="U46" s="125">
        <v>0</v>
      </c>
    </row>
    <row r="47" spans="1:37" ht="17.2" customHeight="1" x14ac:dyDescent="0.55000000000000004">
      <c r="A47" s="117" t="s">
        <v>91</v>
      </c>
      <c r="B47" s="118" t="s">
        <v>92</v>
      </c>
      <c r="C47" s="137" t="s">
        <v>137</v>
      </c>
      <c r="D47" s="44" t="s">
        <v>138</v>
      </c>
      <c r="E47" s="38">
        <v>228943</v>
      </c>
      <c r="F47" s="122"/>
      <c r="G47" s="138">
        <v>89292</v>
      </c>
      <c r="H47" s="109">
        <v>33028.645514780117</v>
      </c>
      <c r="I47" s="78">
        <v>0</v>
      </c>
      <c r="J47" s="109">
        <v>120201.25852396822</v>
      </c>
      <c r="K47" s="10">
        <v>73999.262000000002</v>
      </c>
      <c r="L47" s="109">
        <v>78413</v>
      </c>
      <c r="M47" s="109">
        <v>127490</v>
      </c>
      <c r="N47" s="110">
        <v>99037</v>
      </c>
      <c r="O47" s="109">
        <v>97552.513503086418</v>
      </c>
      <c r="P47" s="128">
        <v>4</v>
      </c>
      <c r="Q47" s="21">
        <v>127490</v>
      </c>
      <c r="R47" s="119">
        <v>127490</v>
      </c>
      <c r="S47" s="120"/>
      <c r="T47" s="125">
        <v>127490</v>
      </c>
      <c r="U47" s="125">
        <v>127490</v>
      </c>
    </row>
    <row r="48" spans="1:37" ht="17.2" customHeight="1" x14ac:dyDescent="0.55000000000000004">
      <c r="A48" s="117" t="s">
        <v>91</v>
      </c>
      <c r="B48" s="118" t="s">
        <v>92</v>
      </c>
      <c r="C48" s="137" t="s">
        <v>139</v>
      </c>
      <c r="D48" s="44" t="s">
        <v>140</v>
      </c>
      <c r="E48" s="38">
        <v>216350</v>
      </c>
      <c r="F48" s="122"/>
      <c r="G48" s="138">
        <v>162108</v>
      </c>
      <c r="H48" s="109">
        <v>31200.835990970591</v>
      </c>
      <c r="I48" s="78">
        <v>0</v>
      </c>
      <c r="J48" s="109">
        <v>153154.40856124187</v>
      </c>
      <c r="K48" s="10">
        <v>88015.76400000001</v>
      </c>
      <c r="L48" s="109">
        <v>76242</v>
      </c>
      <c r="M48" s="109">
        <v>129830</v>
      </c>
      <c r="N48" s="110">
        <v>84296</v>
      </c>
      <c r="O48" s="109">
        <v>184813.83809523808</v>
      </c>
      <c r="P48" s="128">
        <v>4</v>
      </c>
      <c r="Q48" s="21">
        <v>184813.83809523808</v>
      </c>
      <c r="R48" s="119">
        <v>184813.83809523808</v>
      </c>
      <c r="S48" s="120"/>
      <c r="T48" s="125">
        <v>184813.83809523808</v>
      </c>
      <c r="U48" s="125">
        <v>184813.83809523808</v>
      </c>
    </row>
    <row r="49" spans="1:21" ht="17.2" customHeight="1" x14ac:dyDescent="0.55000000000000004">
      <c r="A49" s="117" t="s">
        <v>91</v>
      </c>
      <c r="B49" s="118" t="s">
        <v>92</v>
      </c>
      <c r="C49" s="118" t="s">
        <v>141</v>
      </c>
      <c r="D49" s="44" t="s">
        <v>142</v>
      </c>
      <c r="E49" s="38">
        <v>223119</v>
      </c>
      <c r="F49" s="122"/>
      <c r="G49" s="138">
        <v>103979</v>
      </c>
      <c r="H49" s="109">
        <v>30848.645514780113</v>
      </c>
      <c r="I49" s="78">
        <v>0</v>
      </c>
      <c r="J49" s="109">
        <v>85642.553470054147</v>
      </c>
      <c r="K49" s="10">
        <v>83251.565999999992</v>
      </c>
      <c r="L49" s="109">
        <v>67984</v>
      </c>
      <c r="M49" s="109">
        <v>151810</v>
      </c>
      <c r="N49" s="110">
        <v>51553</v>
      </c>
      <c r="O49" s="109">
        <v>207049.59999999998</v>
      </c>
      <c r="P49" s="128">
        <v>4</v>
      </c>
      <c r="Q49" s="21">
        <v>207049.59999999998</v>
      </c>
      <c r="R49" s="119">
        <v>207049.59999999998</v>
      </c>
      <c r="S49" s="120"/>
      <c r="T49" s="125">
        <v>207049.59999999998</v>
      </c>
      <c r="U49" s="125">
        <v>207049.59999999998</v>
      </c>
    </row>
    <row r="50" spans="1:21" ht="17.2" customHeight="1" x14ac:dyDescent="0.55000000000000004">
      <c r="A50" s="117" t="s">
        <v>91</v>
      </c>
      <c r="B50" s="118" t="s">
        <v>92</v>
      </c>
      <c r="C50" s="118" t="s">
        <v>143</v>
      </c>
      <c r="D50" s="44" t="s">
        <v>144</v>
      </c>
      <c r="E50" s="38">
        <v>86859</v>
      </c>
      <c r="F50" s="122"/>
      <c r="G50" s="138">
        <v>0</v>
      </c>
      <c r="H50" s="109">
        <v>20411.264562399159</v>
      </c>
      <c r="I50" s="78">
        <v>0</v>
      </c>
      <c r="J50" s="109">
        <v>109944.42561045295</v>
      </c>
      <c r="K50" s="10">
        <v>15113.466</v>
      </c>
      <c r="L50" s="109">
        <v>24746</v>
      </c>
      <c r="M50" s="109">
        <v>759</v>
      </c>
      <c r="N50" s="110">
        <v>14404</v>
      </c>
      <c r="O50" s="109">
        <v>21284.202380952382</v>
      </c>
      <c r="P50" s="128">
        <v>3</v>
      </c>
      <c r="Q50" s="21">
        <v>109944.42561045295</v>
      </c>
      <c r="R50" s="119">
        <v>109944.42561045295</v>
      </c>
      <c r="S50" s="120"/>
      <c r="T50" s="125">
        <v>0</v>
      </c>
      <c r="U50" s="125">
        <v>0</v>
      </c>
    </row>
    <row r="51" spans="1:21" ht="17.2" customHeight="1" x14ac:dyDescent="0.55000000000000004">
      <c r="A51" s="117" t="s">
        <v>91</v>
      </c>
      <c r="B51" s="118" t="s">
        <v>92</v>
      </c>
      <c r="C51" s="118" t="s">
        <v>145</v>
      </c>
      <c r="D51" s="44" t="s">
        <v>146</v>
      </c>
      <c r="E51" s="38">
        <v>285029</v>
      </c>
      <c r="F51" s="122"/>
      <c r="G51" s="138">
        <v>3252</v>
      </c>
      <c r="H51" s="109">
        <v>37606.37884811344</v>
      </c>
      <c r="I51" s="78">
        <v>0</v>
      </c>
      <c r="J51" s="109">
        <v>61453.735536588218</v>
      </c>
      <c r="K51" s="10">
        <v>50681.214000000007</v>
      </c>
      <c r="L51" s="109"/>
      <c r="M51" s="109">
        <v>0</v>
      </c>
      <c r="N51" s="110"/>
      <c r="O51" s="109">
        <v>0</v>
      </c>
      <c r="P51" s="128">
        <v>2</v>
      </c>
      <c r="Q51" s="21">
        <v>0</v>
      </c>
      <c r="R51" s="119">
        <v>0</v>
      </c>
      <c r="S51" s="120"/>
      <c r="T51" s="125">
        <v>0</v>
      </c>
      <c r="U51" s="125">
        <v>0</v>
      </c>
    </row>
    <row r="52" spans="1:21" ht="17.2" customHeight="1" x14ac:dyDescent="0.55000000000000004">
      <c r="A52" s="117" t="s">
        <v>147</v>
      </c>
      <c r="B52" s="118" t="s">
        <v>148</v>
      </c>
      <c r="C52" s="118" t="s">
        <v>149</v>
      </c>
      <c r="D52" s="44" t="s">
        <v>150</v>
      </c>
      <c r="E52" s="38">
        <v>261693</v>
      </c>
      <c r="F52" s="122"/>
      <c r="G52" s="138">
        <v>28033</v>
      </c>
      <c r="H52" s="109">
        <v>12474.0714285714</v>
      </c>
      <c r="I52" s="78">
        <v>0</v>
      </c>
      <c r="J52" s="109">
        <v>78508.423600537499</v>
      </c>
      <c r="K52" s="10">
        <v>54897.604000000007</v>
      </c>
      <c r="L52" s="109">
        <v>69375</v>
      </c>
      <c r="M52" s="109">
        <v>42177</v>
      </c>
      <c r="N52" s="110">
        <v>77385</v>
      </c>
      <c r="O52" s="109">
        <v>57068.027401026397</v>
      </c>
      <c r="P52" s="128">
        <v>3</v>
      </c>
      <c r="Q52" s="21">
        <v>78508.423600537499</v>
      </c>
      <c r="R52" s="119">
        <v>78508.423600537499</v>
      </c>
      <c r="S52" s="120"/>
      <c r="T52" s="125">
        <v>0</v>
      </c>
      <c r="U52" s="125">
        <v>0</v>
      </c>
    </row>
    <row r="53" spans="1:21" ht="17.2" customHeight="1" x14ac:dyDescent="0.55000000000000004">
      <c r="A53" s="117" t="s">
        <v>147</v>
      </c>
      <c r="B53" s="118" t="s">
        <v>148</v>
      </c>
      <c r="C53" s="118" t="s">
        <v>151</v>
      </c>
      <c r="D53" s="44" t="s">
        <v>152</v>
      </c>
      <c r="E53" s="38">
        <v>230780</v>
      </c>
      <c r="F53" s="122"/>
      <c r="G53" s="138">
        <v>2998</v>
      </c>
      <c r="H53" s="109">
        <v>25788.280952380956</v>
      </c>
      <c r="I53" s="78">
        <v>0</v>
      </c>
      <c r="J53" s="109">
        <v>72859.339719731244</v>
      </c>
      <c r="K53" s="10">
        <v>41731.847000000009</v>
      </c>
      <c r="L53" s="109">
        <v>61180</v>
      </c>
      <c r="M53" s="109">
        <v>11416</v>
      </c>
      <c r="N53" s="110">
        <v>41328</v>
      </c>
      <c r="O53" s="109">
        <v>55223.668085106379</v>
      </c>
      <c r="P53" s="128">
        <v>3</v>
      </c>
      <c r="Q53" s="21">
        <v>72859.339719731244</v>
      </c>
      <c r="R53" s="119">
        <v>72859.339719731244</v>
      </c>
      <c r="S53" s="120"/>
      <c r="T53" s="125">
        <v>0</v>
      </c>
      <c r="U53" s="125">
        <v>0</v>
      </c>
    </row>
    <row r="54" spans="1:21" ht="17.2" customHeight="1" x14ac:dyDescent="0.55000000000000004">
      <c r="A54" s="117" t="s">
        <v>147</v>
      </c>
      <c r="B54" s="118" t="s">
        <v>148</v>
      </c>
      <c r="C54" s="118" t="s">
        <v>153</v>
      </c>
      <c r="D54" s="44" t="s">
        <v>154</v>
      </c>
      <c r="E54" s="38">
        <v>421155</v>
      </c>
      <c r="F54" s="122"/>
      <c r="G54" s="138">
        <v>23361</v>
      </c>
      <c r="H54" s="109">
        <v>16380.838095238099</v>
      </c>
      <c r="I54" s="78">
        <v>0</v>
      </c>
      <c r="J54" s="109">
        <v>30221.764452112497</v>
      </c>
      <c r="K54" s="10">
        <v>100879.541</v>
      </c>
      <c r="L54" s="109">
        <v>176085</v>
      </c>
      <c r="M54" s="109">
        <v>52876</v>
      </c>
      <c r="N54" s="110">
        <v>56424</v>
      </c>
      <c r="O54" s="109">
        <v>95399.514974619306</v>
      </c>
      <c r="P54" s="128">
        <v>3</v>
      </c>
      <c r="Q54" s="21">
        <v>176085</v>
      </c>
      <c r="R54" s="119">
        <v>176085</v>
      </c>
      <c r="S54" s="120"/>
      <c r="T54" s="125">
        <v>176085</v>
      </c>
      <c r="U54" s="125">
        <v>0</v>
      </c>
    </row>
    <row r="55" spans="1:21" ht="17.2" customHeight="1" x14ac:dyDescent="0.55000000000000004">
      <c r="A55" s="117" t="s">
        <v>147</v>
      </c>
      <c r="B55" s="118" t="s">
        <v>148</v>
      </c>
      <c r="C55" s="118" t="s">
        <v>155</v>
      </c>
      <c r="D55" s="44" t="s">
        <v>156</v>
      </c>
      <c r="E55" s="38">
        <v>373708</v>
      </c>
      <c r="F55" s="122"/>
      <c r="G55" s="138">
        <v>3422</v>
      </c>
      <c r="H55" s="109">
        <v>11111</v>
      </c>
      <c r="I55" s="78">
        <v>0</v>
      </c>
      <c r="J55" s="109">
        <v>183012.85543159128</v>
      </c>
      <c r="K55" s="10">
        <v>66215.462</v>
      </c>
      <c r="L55" s="109">
        <v>108151</v>
      </c>
      <c r="M55" s="109">
        <v>11700</v>
      </c>
      <c r="N55" s="110">
        <v>36519</v>
      </c>
      <c r="O55" s="109">
        <v>74856.801120448174</v>
      </c>
      <c r="P55" s="128">
        <v>3</v>
      </c>
      <c r="Q55" s="21">
        <v>183012.85543159128</v>
      </c>
      <c r="R55" s="119">
        <v>183012.85543159128</v>
      </c>
      <c r="S55" s="120"/>
      <c r="T55" s="125">
        <v>0</v>
      </c>
      <c r="U55" s="125">
        <v>0</v>
      </c>
    </row>
    <row r="56" spans="1:21" ht="17.2" customHeight="1" x14ac:dyDescent="0.55000000000000004">
      <c r="A56" s="117" t="s">
        <v>147</v>
      </c>
      <c r="B56" s="118" t="s">
        <v>148</v>
      </c>
      <c r="C56" s="118" t="s">
        <v>157</v>
      </c>
      <c r="D56" s="44" t="s">
        <v>158</v>
      </c>
      <c r="E56" s="38">
        <v>589857</v>
      </c>
      <c r="F56" s="122"/>
      <c r="G56" s="138">
        <v>4589</v>
      </c>
      <c r="H56" s="109">
        <v>10543.142857142901</v>
      </c>
      <c r="I56" s="78">
        <v>0</v>
      </c>
      <c r="J56" s="109">
        <v>229496.61735629998</v>
      </c>
      <c r="K56" s="10">
        <v>104137.63400000001</v>
      </c>
      <c r="L56" s="109">
        <v>170705</v>
      </c>
      <c r="M56" s="109">
        <v>49751</v>
      </c>
      <c r="N56" s="110">
        <v>87535</v>
      </c>
      <c r="O56" s="109">
        <v>103932.51338582678</v>
      </c>
      <c r="P56" s="128">
        <v>3</v>
      </c>
      <c r="Q56" s="21">
        <v>229496.61735629998</v>
      </c>
      <c r="R56" s="119">
        <v>229496.61735629998</v>
      </c>
      <c r="S56" s="120"/>
      <c r="T56" s="125">
        <v>0</v>
      </c>
      <c r="U56" s="125">
        <v>0</v>
      </c>
    </row>
    <row r="57" spans="1:21" ht="17.2" customHeight="1" x14ac:dyDescent="0.55000000000000004">
      <c r="A57" s="117" t="s">
        <v>147</v>
      </c>
      <c r="B57" s="118" t="s">
        <v>148</v>
      </c>
      <c r="C57" s="118" t="s">
        <v>159</v>
      </c>
      <c r="D57" s="44" t="s">
        <v>160</v>
      </c>
      <c r="E57" s="38">
        <v>292654</v>
      </c>
      <c r="F57" s="122"/>
      <c r="G57" s="138">
        <v>5555</v>
      </c>
      <c r="H57" s="109">
        <v>30163.023809523813</v>
      </c>
      <c r="I57" s="78">
        <v>0</v>
      </c>
      <c r="J57" s="109">
        <v>142617.21857900999</v>
      </c>
      <c r="K57" s="10">
        <v>81362.775999999998</v>
      </c>
      <c r="L57" s="109">
        <v>118144</v>
      </c>
      <c r="M57" s="109">
        <v>69511</v>
      </c>
      <c r="N57" s="110">
        <v>140259</v>
      </c>
      <c r="O57" s="109">
        <v>149552.13802756244</v>
      </c>
      <c r="P57" s="128">
        <v>3</v>
      </c>
      <c r="Q57" s="21">
        <v>149552.13802756244</v>
      </c>
      <c r="R57" s="119">
        <v>149552.13802756244</v>
      </c>
      <c r="S57" s="120"/>
      <c r="T57" s="125">
        <v>118144</v>
      </c>
      <c r="U57" s="125">
        <v>0</v>
      </c>
    </row>
    <row r="58" spans="1:21" ht="17.2" customHeight="1" x14ac:dyDescent="0.55000000000000004">
      <c r="A58" s="117" t="s">
        <v>147</v>
      </c>
      <c r="B58" s="118" t="s">
        <v>148</v>
      </c>
      <c r="C58" s="118" t="s">
        <v>161</v>
      </c>
      <c r="D58" s="44" t="s">
        <v>162</v>
      </c>
      <c r="E58" s="38">
        <v>265788</v>
      </c>
      <c r="F58" s="122"/>
      <c r="G58" s="138">
        <v>48298</v>
      </c>
      <c r="H58" s="109">
        <v>16869.0476190476</v>
      </c>
      <c r="I58" s="78">
        <v>0</v>
      </c>
      <c r="J58" s="109">
        <v>126198.34861428001</v>
      </c>
      <c r="K58" s="10">
        <v>102961.439</v>
      </c>
      <c r="L58" s="109">
        <v>103950</v>
      </c>
      <c r="M58" s="109">
        <v>226726</v>
      </c>
      <c r="N58" s="110">
        <v>119448</v>
      </c>
      <c r="O58" s="109">
        <v>115806.22261904761</v>
      </c>
      <c r="P58" s="128">
        <v>3</v>
      </c>
      <c r="Q58" s="21">
        <v>226726</v>
      </c>
      <c r="R58" s="119">
        <v>226726</v>
      </c>
      <c r="S58" s="120"/>
      <c r="T58" s="125">
        <v>103950</v>
      </c>
      <c r="U58" s="125">
        <v>0</v>
      </c>
    </row>
    <row r="59" spans="1:21" ht="17.2" customHeight="1" x14ac:dyDescent="0.55000000000000004">
      <c r="A59" s="117" t="s">
        <v>147</v>
      </c>
      <c r="B59" s="118" t="s">
        <v>148</v>
      </c>
      <c r="C59" s="118" t="s">
        <v>163</v>
      </c>
      <c r="D59" s="44" t="s">
        <v>164</v>
      </c>
      <c r="E59" s="38">
        <v>369438</v>
      </c>
      <c r="F59" s="122"/>
      <c r="G59" s="138">
        <v>2312</v>
      </c>
      <c r="H59" s="109">
        <v>35910.690476190488</v>
      </c>
      <c r="I59" s="78">
        <v>0</v>
      </c>
      <c r="J59" s="109">
        <v>92805.883870421239</v>
      </c>
      <c r="K59" s="10">
        <v>76802.822000000015</v>
      </c>
      <c r="L59" s="109">
        <v>140165</v>
      </c>
      <c r="M59" s="109">
        <v>104764</v>
      </c>
      <c r="N59" s="110">
        <v>85634</v>
      </c>
      <c r="O59" s="109">
        <v>96634.433908045976</v>
      </c>
      <c r="P59" s="128">
        <v>3</v>
      </c>
      <c r="Q59" s="21">
        <v>140165</v>
      </c>
      <c r="R59" s="119">
        <v>140165</v>
      </c>
      <c r="S59" s="120"/>
      <c r="T59" s="125">
        <v>140165</v>
      </c>
      <c r="U59" s="125">
        <v>0</v>
      </c>
    </row>
    <row r="60" spans="1:21" ht="17.2" customHeight="1" x14ac:dyDescent="0.55000000000000004">
      <c r="A60" s="117" t="s">
        <v>147</v>
      </c>
      <c r="B60" s="118" t="s">
        <v>148</v>
      </c>
      <c r="C60" s="118" t="s">
        <v>165</v>
      </c>
      <c r="D60" s="44" t="s">
        <v>166</v>
      </c>
      <c r="E60" s="38">
        <v>326685</v>
      </c>
      <c r="F60" s="122"/>
      <c r="G60" s="138">
        <v>2909</v>
      </c>
      <c r="H60" s="109">
        <v>30021.88095238095</v>
      </c>
      <c r="I60" s="78">
        <v>0</v>
      </c>
      <c r="J60" s="109">
        <v>113622.31697865749</v>
      </c>
      <c r="K60" s="10">
        <v>57814.796000000002</v>
      </c>
      <c r="L60" s="109">
        <v>86604</v>
      </c>
      <c r="M60" s="109">
        <v>0</v>
      </c>
      <c r="N60" s="110">
        <v>61048</v>
      </c>
      <c r="O60" s="109">
        <v>37299.481746031743</v>
      </c>
      <c r="P60" s="128">
        <v>3</v>
      </c>
      <c r="Q60" s="21">
        <v>113622.31697865749</v>
      </c>
      <c r="R60" s="119">
        <v>113622.31697865749</v>
      </c>
      <c r="S60" s="120"/>
      <c r="T60" s="125">
        <v>0</v>
      </c>
      <c r="U60" s="125">
        <v>0</v>
      </c>
    </row>
    <row r="61" spans="1:21" ht="17.2" customHeight="1" x14ac:dyDescent="0.55000000000000004">
      <c r="A61" s="117" t="s">
        <v>147</v>
      </c>
      <c r="B61" s="118" t="s">
        <v>148</v>
      </c>
      <c r="C61" s="118" t="s">
        <v>167</v>
      </c>
      <c r="D61" s="44" t="s">
        <v>168</v>
      </c>
      <c r="E61" s="38">
        <v>179478</v>
      </c>
      <c r="F61" s="122"/>
      <c r="G61" s="138">
        <v>360</v>
      </c>
      <c r="H61" s="109">
        <v>19473.552380952387</v>
      </c>
      <c r="I61" s="78">
        <v>0</v>
      </c>
      <c r="J61" s="109">
        <v>44902.608275992498</v>
      </c>
      <c r="K61" s="10">
        <v>31818.569</v>
      </c>
      <c r="L61" s="109">
        <v>51456</v>
      </c>
      <c r="M61" s="109">
        <v>21905</v>
      </c>
      <c r="N61" s="110">
        <v>29001</v>
      </c>
      <c r="O61" s="109">
        <v>31184.622262773726</v>
      </c>
      <c r="P61" s="128">
        <v>3</v>
      </c>
      <c r="Q61" s="21">
        <v>51456</v>
      </c>
      <c r="R61" s="119">
        <v>51456</v>
      </c>
      <c r="S61" s="120"/>
      <c r="T61" s="125">
        <v>0</v>
      </c>
      <c r="U61" s="125">
        <v>0</v>
      </c>
    </row>
    <row r="62" spans="1:21" ht="17.2" customHeight="1" x14ac:dyDescent="0.55000000000000004">
      <c r="A62" s="117" t="s">
        <v>147</v>
      </c>
      <c r="B62" s="118" t="s">
        <v>148</v>
      </c>
      <c r="C62" s="118" t="s">
        <v>169</v>
      </c>
      <c r="D62" s="44" t="s">
        <v>170</v>
      </c>
      <c r="E62" s="38">
        <v>127524</v>
      </c>
      <c r="F62" s="122"/>
      <c r="G62" s="138">
        <v>1972</v>
      </c>
      <c r="H62" s="109">
        <v>10233</v>
      </c>
      <c r="I62" s="78">
        <v>0</v>
      </c>
      <c r="J62" s="109">
        <v>35024.397671250001</v>
      </c>
      <c r="K62" s="10">
        <v>22847.824000000001</v>
      </c>
      <c r="L62" s="109">
        <v>36561</v>
      </c>
      <c r="M62" s="109">
        <v>0</v>
      </c>
      <c r="N62" s="110">
        <v>25661</v>
      </c>
      <c r="O62" s="109">
        <v>41653.197302208559</v>
      </c>
      <c r="P62" s="128">
        <v>3</v>
      </c>
      <c r="Q62" s="21">
        <v>41653.197302208559</v>
      </c>
      <c r="R62" s="119">
        <v>41653.197302208559</v>
      </c>
      <c r="S62" s="120"/>
      <c r="T62" s="125">
        <v>0</v>
      </c>
      <c r="U62" s="125">
        <v>0</v>
      </c>
    </row>
    <row r="63" spans="1:21" ht="17.2" customHeight="1" x14ac:dyDescent="0.55000000000000004">
      <c r="A63" s="117" t="s">
        <v>147</v>
      </c>
      <c r="B63" s="118" t="s">
        <v>148</v>
      </c>
      <c r="C63" s="118" t="s">
        <v>171</v>
      </c>
      <c r="D63" s="44" t="s">
        <v>172</v>
      </c>
      <c r="E63" s="38">
        <v>263768</v>
      </c>
      <c r="F63" s="122"/>
      <c r="G63" s="138">
        <v>424</v>
      </c>
      <c r="H63" s="109">
        <v>25631.523809523798</v>
      </c>
      <c r="I63" s="78">
        <v>0</v>
      </c>
      <c r="J63" s="109">
        <v>110013.61769039248</v>
      </c>
      <c r="K63" s="10">
        <v>46430.403000000006</v>
      </c>
      <c r="L63" s="109">
        <v>76334</v>
      </c>
      <c r="M63" s="109">
        <v>0</v>
      </c>
      <c r="N63" s="110">
        <v>45498</v>
      </c>
      <c r="O63" s="109">
        <v>35743.923113207544</v>
      </c>
      <c r="P63" s="128">
        <v>3</v>
      </c>
      <c r="Q63" s="21">
        <v>110013.61769039248</v>
      </c>
      <c r="R63" s="119">
        <v>110013.61769039248</v>
      </c>
      <c r="S63" s="120"/>
      <c r="T63" s="125">
        <v>0</v>
      </c>
      <c r="U63" s="125">
        <v>0</v>
      </c>
    </row>
    <row r="64" spans="1:21" ht="17.2" customHeight="1" x14ac:dyDescent="0.55000000000000004">
      <c r="A64" s="117" t="s">
        <v>147</v>
      </c>
      <c r="B64" s="118" t="s">
        <v>148</v>
      </c>
      <c r="C64" s="118" t="s">
        <v>173</v>
      </c>
      <c r="D64" s="44" t="s">
        <v>174</v>
      </c>
      <c r="E64" s="38">
        <v>253951</v>
      </c>
      <c r="F64" s="122"/>
      <c r="G64" s="138">
        <v>6418</v>
      </c>
      <c r="H64" s="109">
        <v>11577.714285714301</v>
      </c>
      <c r="I64" s="78">
        <v>0</v>
      </c>
      <c r="J64" s="109">
        <v>57685.97015424</v>
      </c>
      <c r="K64" s="10">
        <v>98533.569000000018</v>
      </c>
      <c r="L64" s="109">
        <v>72808</v>
      </c>
      <c r="M64" s="109">
        <v>29885</v>
      </c>
      <c r="N64" s="110">
        <v>35272</v>
      </c>
      <c r="O64" s="109">
        <v>50962.753680981587</v>
      </c>
      <c r="P64" s="128">
        <v>3</v>
      </c>
      <c r="Q64" s="21">
        <v>98533.569000000018</v>
      </c>
      <c r="R64" s="119">
        <v>98533.569000000018</v>
      </c>
      <c r="S64" s="120"/>
      <c r="T64" s="125">
        <v>0</v>
      </c>
      <c r="U64" s="125">
        <v>0</v>
      </c>
    </row>
    <row r="65" spans="1:21" ht="17.2" customHeight="1" x14ac:dyDescent="0.55000000000000004">
      <c r="A65" s="117" t="s">
        <v>147</v>
      </c>
      <c r="B65" s="118" t="s">
        <v>148</v>
      </c>
      <c r="C65" s="118" t="s">
        <v>175</v>
      </c>
      <c r="D65" s="44" t="s">
        <v>176</v>
      </c>
      <c r="E65" s="38">
        <v>676494</v>
      </c>
      <c r="F65" s="122"/>
      <c r="G65" s="138">
        <v>1720</v>
      </c>
      <c r="H65" s="109">
        <v>11853.4761904762</v>
      </c>
      <c r="I65" s="78">
        <v>0</v>
      </c>
      <c r="J65" s="109">
        <v>113799.52335661874</v>
      </c>
      <c r="K65" s="10">
        <v>119962.455</v>
      </c>
      <c r="L65" s="109">
        <v>195777</v>
      </c>
      <c r="M65" s="109">
        <v>80491</v>
      </c>
      <c r="N65" s="110">
        <v>8741</v>
      </c>
      <c r="O65" s="109">
        <v>99559.421597633147</v>
      </c>
      <c r="P65" s="128">
        <v>3</v>
      </c>
      <c r="Q65" s="21">
        <v>195777</v>
      </c>
      <c r="R65" s="119">
        <v>195777</v>
      </c>
      <c r="S65" s="120"/>
      <c r="T65" s="125">
        <v>0</v>
      </c>
      <c r="U65" s="125">
        <v>0</v>
      </c>
    </row>
    <row r="66" spans="1:21" ht="17.2" customHeight="1" x14ac:dyDescent="0.55000000000000004">
      <c r="A66" s="117" t="s">
        <v>147</v>
      </c>
      <c r="B66" s="118" t="s">
        <v>148</v>
      </c>
      <c r="C66" s="118" t="s">
        <v>177</v>
      </c>
      <c r="D66" s="44" t="s">
        <v>178</v>
      </c>
      <c r="E66" s="38">
        <v>147478</v>
      </c>
      <c r="F66" s="122"/>
      <c r="G66" s="138">
        <v>4473</v>
      </c>
      <c r="H66" s="109">
        <v>16343.647619047621</v>
      </c>
      <c r="I66" s="78">
        <v>0</v>
      </c>
      <c r="J66" s="109">
        <v>51547.176675225011</v>
      </c>
      <c r="K66" s="10">
        <v>26684.712000000003</v>
      </c>
      <c r="L66" s="109">
        <v>57679</v>
      </c>
      <c r="M66" s="109">
        <v>44833</v>
      </c>
      <c r="N66" s="110">
        <v>22301</v>
      </c>
      <c r="O66" s="109">
        <v>0</v>
      </c>
      <c r="P66" s="128">
        <v>3</v>
      </c>
      <c r="Q66" s="21">
        <v>57679</v>
      </c>
      <c r="R66" s="119">
        <v>57679</v>
      </c>
      <c r="S66" s="120"/>
      <c r="T66" s="125">
        <v>57679</v>
      </c>
      <c r="U66" s="125">
        <v>0</v>
      </c>
    </row>
    <row r="67" spans="1:21" ht="17.2" customHeight="1" x14ac:dyDescent="0.55000000000000004">
      <c r="A67" s="117" t="s">
        <v>147</v>
      </c>
      <c r="B67" s="118" t="s">
        <v>148</v>
      </c>
      <c r="C67" s="118" t="s">
        <v>179</v>
      </c>
      <c r="D67" s="44" t="s">
        <v>180</v>
      </c>
      <c r="E67" s="38">
        <v>292431</v>
      </c>
      <c r="F67" s="122"/>
      <c r="G67" s="138">
        <v>1705</v>
      </c>
      <c r="H67" s="109">
        <v>32315.652380952379</v>
      </c>
      <c r="I67" s="78">
        <v>0</v>
      </c>
      <c r="J67" s="109">
        <v>64805.912429557502</v>
      </c>
      <c r="K67" s="10">
        <v>52900.928000000007</v>
      </c>
      <c r="L67" s="109">
        <v>83840</v>
      </c>
      <c r="M67" s="109">
        <v>56285</v>
      </c>
      <c r="N67" s="110">
        <v>43646</v>
      </c>
      <c r="O67" s="109">
        <v>39388.825356125359</v>
      </c>
      <c r="P67" s="128">
        <v>3</v>
      </c>
      <c r="Q67" s="21">
        <v>83840</v>
      </c>
      <c r="R67" s="119">
        <v>83840</v>
      </c>
      <c r="S67" s="120"/>
      <c r="T67" s="125">
        <v>0</v>
      </c>
      <c r="U67" s="125">
        <v>0</v>
      </c>
    </row>
    <row r="68" spans="1:21" ht="17.2" customHeight="1" x14ac:dyDescent="0.55000000000000004">
      <c r="A68" s="117" t="s">
        <v>147</v>
      </c>
      <c r="B68" s="118" t="s">
        <v>148</v>
      </c>
      <c r="C68" s="118" t="s">
        <v>181</v>
      </c>
      <c r="D68" s="44" t="s">
        <v>182</v>
      </c>
      <c r="E68" s="38">
        <v>298016</v>
      </c>
      <c r="F68" s="124"/>
      <c r="G68" s="138">
        <v>992</v>
      </c>
      <c r="H68" s="109">
        <v>12000</v>
      </c>
      <c r="I68" s="78">
        <v>0</v>
      </c>
      <c r="J68" s="109">
        <v>67812.023552760002</v>
      </c>
      <c r="K68" s="10">
        <v>52835.108</v>
      </c>
      <c r="L68" s="109"/>
      <c r="M68" s="109">
        <v>0</v>
      </c>
      <c r="N68" s="110">
        <v>68185</v>
      </c>
      <c r="O68" s="109">
        <v>0</v>
      </c>
      <c r="P68" s="128">
        <v>1</v>
      </c>
      <c r="Q68" s="21">
        <v>0</v>
      </c>
      <c r="R68" s="119">
        <v>0</v>
      </c>
      <c r="S68" s="120"/>
      <c r="T68" s="125">
        <v>0</v>
      </c>
      <c r="U68" s="125">
        <v>0</v>
      </c>
    </row>
  </sheetData>
  <mergeCells count="5">
    <mergeCell ref="R2:S2"/>
    <mergeCell ref="G2:O2"/>
    <mergeCell ref="P2:Q2"/>
    <mergeCell ref="A2:D2"/>
    <mergeCell ref="E2:F2"/>
  </mergeCells>
  <phoneticPr fontId="8" type="noConversion"/>
  <conditionalFormatting sqref="P4:Q68">
    <cfRule type="containsText" dxfId="18" priority="4" operator="containsText" text="Flagged">
      <formula>NOT(ISERROR(SEARCH("Flagged",P4)))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57F7-6C31-4B6E-9251-013C1D64B81D}">
  <sheetPr codeName="Sheet4">
    <tabColor theme="7" tint="0.59999389629810485"/>
  </sheetPr>
  <dimension ref="A1:AB77"/>
  <sheetViews>
    <sheetView showGridLines="0" topLeftCell="P1" zoomScaleNormal="100" workbookViewId="0">
      <selection activeCell="AO11" sqref="AO11"/>
    </sheetView>
  </sheetViews>
  <sheetFormatPr defaultColWidth="8.7890625" defaultRowHeight="14.4" x14ac:dyDescent="0.55000000000000004"/>
  <cols>
    <col min="1" max="1" width="14.26171875" style="30" hidden="1" customWidth="1"/>
    <col min="2" max="2" width="21" style="32" hidden="1" customWidth="1"/>
    <col min="3" max="4" width="21" style="30" hidden="1" customWidth="1"/>
    <col min="5" max="5" width="10.26171875" style="30" hidden="1" customWidth="1"/>
    <col min="6" max="6" width="9" style="30" hidden="1" customWidth="1"/>
    <col min="7" max="7" width="9.15625" hidden="1" customWidth="1"/>
    <col min="8" max="8" width="12.15625" style="6" hidden="1" customWidth="1"/>
    <col min="9" max="9" width="14.47265625" hidden="1" customWidth="1"/>
    <col min="10" max="10" width="16.26171875" hidden="1" customWidth="1"/>
    <col min="11" max="11" width="13.26171875" hidden="1" customWidth="1"/>
    <col min="12" max="12" width="14.7890625" hidden="1" customWidth="1"/>
    <col min="13" max="14" width="9.15625" hidden="1" customWidth="1"/>
    <col min="15" max="15" width="8.7890625" hidden="1" customWidth="1"/>
    <col min="16" max="16" width="15.7890625" customWidth="1"/>
    <col min="17" max="17" width="28.7890625" customWidth="1"/>
    <col min="27" max="41" width="8.7890625" customWidth="1"/>
  </cols>
  <sheetData>
    <row r="1" spans="1:26" x14ac:dyDescent="0.55000000000000004">
      <c r="A1" s="29"/>
      <c r="B1" s="31"/>
      <c r="F1"/>
    </row>
    <row r="2" spans="1:26" ht="24.75" customHeight="1" x14ac:dyDescent="0.55000000000000004">
      <c r="A2" s="29"/>
      <c r="B2" s="31"/>
      <c r="F2"/>
      <c r="P2" s="33" t="s">
        <v>22</v>
      </c>
      <c r="Q2" s="34" t="s">
        <v>2</v>
      </c>
    </row>
    <row r="3" spans="1:26" ht="24.75" customHeight="1" x14ac:dyDescent="0.55000000000000004">
      <c r="A3" s="29"/>
      <c r="B3" s="31"/>
      <c r="F3"/>
      <c r="Z3" s="60"/>
    </row>
    <row r="4" spans="1:26" ht="24.75" customHeight="1" x14ac:dyDescent="0.55000000000000004">
      <c r="A4" s="29"/>
      <c r="B4" s="31"/>
      <c r="F4"/>
      <c r="Z4" s="60"/>
    </row>
    <row r="5" spans="1:26" ht="14.7" thickBot="1" x14ac:dyDescent="0.6">
      <c r="A5" s="39" t="s">
        <v>23</v>
      </c>
      <c r="B5" s="39" cm="1">
        <f t="array" ref="B5">TRANSPOSE(_xlfn.UNIQUE(tblPiNAnalysis[Population Group]))</f>
        <v>0</v>
      </c>
      <c r="C5" s="39"/>
      <c r="D5" s="39"/>
      <c r="E5" s="39"/>
      <c r="F5" s="39"/>
      <c r="H5" s="59" t="s">
        <v>23</v>
      </c>
      <c r="I5" s="39" t="e" cm="1">
        <f t="array" ref="I5">TRANSPOSE(_xlfn.UNIQUE(#REF!))</f>
        <v>#REF!</v>
      </c>
      <c r="J5" s="39"/>
      <c r="K5" s="39"/>
      <c r="L5" s="39"/>
      <c r="M5" s="39"/>
      <c r="Z5" s="60"/>
    </row>
    <row r="6" spans="1:26" ht="14.7" thickTop="1" x14ac:dyDescent="0.55000000000000004">
      <c r="A6" s="36" t="e" cm="1">
        <f t="array" ref="A6">_xlfn._xlws.SORT(_xlfn.UNIQUE(INDEX(#REF!, 0, MATCH(_xlfn.CONCAT($Q$2, "%"), #REF!, 0))))</f>
        <v>#REF!</v>
      </c>
      <c r="B6" s="35" t="e" cm="1">
        <f t="array" ref="B6">IF($A6="", "", IF(SUM(IF(INDEX(_xlfn._xlws.FILTER(#REF!, tblPiNAnalysis[Population Group]=B$5), 0, MATCH(_xlfn.CONCAT($Q$2, "%"), #REF!, 0))=$A6, 1, 0))=0, "",SUM(IF(INDEX(_xlfn._xlws.FILTER(#REF!, tblPiNAnalysis[Population Group]=B$5), 0, MATCH(_xlfn.CONCAT($Q$2, "%"), #REF!, 0))=$A6, 1, 0))))</f>
        <v>#REF!</v>
      </c>
      <c r="C6" s="35" t="str" cm="1">
        <f t="array" ref="C6">IFERROR(IF(OR($A6="", C$5=""), "", IF(SUM(IF(INDEX(_xlfn._xlws.FILTER(#REF!, tblPiNAnalysis[Population Group]=C$5), 0, MATCH(_xlfn.CONCAT($Q$2, "%"), #REF!, 0))=$A6, 1, 0))=0, "",SUM(IF(INDEX(_xlfn._xlws.FILTER(#REF!, tblPiNAnalysis[Population Group]=C$5), 0, MATCH(_xlfn.CONCAT($Q$2, "%"), #REF!, 0))=$A6, 1, 0)))), "")</f>
        <v/>
      </c>
      <c r="D6" s="35" t="str" cm="1">
        <f t="array" ref="D6">IFERROR(IF(OR($A6="", D$5=""), "", IF(SUM(IF(INDEX(_xlfn._xlws.FILTER(#REF!, tblPiNAnalysis[Population Group]=D$5), 0, MATCH(_xlfn.CONCAT($Q$2, "%"), #REF!, 0))=$A6, 1, 0))=0, "",SUM(IF(INDEX(_xlfn._xlws.FILTER(#REF!, tblPiNAnalysis[Population Group]=D$5), 0, MATCH(_xlfn.CONCAT($Q$2, "%"), #REF!, 0))=$A6, 1, 0)))), "")</f>
        <v/>
      </c>
      <c r="E6" s="35" t="str" cm="1">
        <f t="array" ref="E6">IFERROR(IF(OR($A6="", E$5=""), "", IF(SUM(IF(INDEX(_xlfn._xlws.FILTER(#REF!, tblPiNAnalysis[Population Group]=E$5), 0, MATCH(_xlfn.CONCAT($Q$2, "%"), #REF!, 0))=$A6, 1, 0))=0, "",SUM(IF(INDEX(_xlfn._xlws.FILTER(#REF!, tblPiNAnalysis[Population Group]=E$5), 0, MATCH(_xlfn.CONCAT($Q$2, "%"), #REF!, 0))=$A6, 1, 0)))), "")</f>
        <v/>
      </c>
      <c r="F6" s="35" t="str" cm="1">
        <f t="array" ref="F6">IFERROR(IF(OR($A6="", F$5=""), "", IF(SUM(IF(INDEX(_xlfn._xlws.FILTER(#REF!, tblPiNAnalysis[CCCM]=F$5), 0, MATCH(_xlfn.CONCAT($Q$2, "%"), #REF!, 0))=$A6, 1, 0))=0, "",SUM(IF(INDEX(_xlfn._xlws.FILTER(#REF!, tblPiNAnalysis[CCCM]=F$5), 0, MATCH(_xlfn.CONCAT($Q$2, "%"), #REF!, 0))=$A6, 1, 0)))), "")</f>
        <v/>
      </c>
      <c r="H6" s="36" t="e" cm="1">
        <f t="array" ref="H6">_xlfn._xlws.SORT(_xlfn.UNIQUE(_xlfn._xlws.FILTER(INDEX(#REF!,0,MATCH($Q$2,#REF!,0)),INDEX(#REF!,0,MATCH($Q$2,#REF!,0))&lt;=2)))</f>
        <v>#REF!</v>
      </c>
      <c r="I6" s="35" t="e" cm="1">
        <f t="array" ref="I6">IF($H6="", "", IF($H6=2, SUM(IF(INDEX(_xlfn._xlws.FILTER(#REF!,#REF!= I$5), 0, MATCH($Q$2,#REF!, 0))&gt;1.9, 1, 0)), IF(SUM(IF(INDEX(_xlfn._xlws.FILTER(#REF!,#REF!= I$5), 0, MATCH($Q$2,#REF!, 0))=$H6, 1, 0))=0, "", SUM(IF(INDEX(_xlfn._xlws.FILTER(#REF!,#REF!= I$5), 0, MATCH($Q$2,#REF!, 0))=$H6, 1, 0)))))</f>
        <v>#REF!</v>
      </c>
      <c r="J6" s="35" t="str" cm="1">
        <f t="array" ref="J6">IFERROR(IF(OR($H6="", J5=""), "", IF($H6=2, SUM(IF(INDEX(_xlfn._xlws.FILTER(#REF!,#REF!= J$5), 0, MATCH($Q$2,#REF!, 0))&gt;1.9, 1, 0)), IF(SUM(IF(INDEX(_xlfn._xlws.FILTER(#REF!,#REF!= J$5), 0, MATCH($Q$2,#REF!, 0))=$H6, 1, 0))=0, "", SUM(IF(INDEX(_xlfn._xlws.FILTER(#REF!,#REF!= J$5), 0, MATCH($Q$2,#REF!, 0))=$H6, 1, 0))))), "")</f>
        <v/>
      </c>
      <c r="K6" s="35" t="str" cm="1">
        <f t="array" ref="K6">IFERROR(IF(OR($H6="", K5=""), "", IF($H6=2, SUM(IF(INDEX(_xlfn._xlws.FILTER(#REF!,#REF!= K$5), 0, MATCH($Q$2,#REF!, 0))&gt;1.9, 1, 0)), IF(SUM(IF(INDEX(_xlfn._xlws.FILTER(#REF!,#REF!= K$5), 0, MATCH($Q$2,#REF!, 0))=$H6, 1, 0))=0, "", SUM(IF(INDEX(_xlfn._xlws.FILTER(#REF!,#REF!= K$5), 0, MATCH($Q$2,#REF!, 0))=$H6, 1, 0))))), "")</f>
        <v/>
      </c>
      <c r="L6" s="35" t="str" cm="1">
        <f t="array" ref="L6">IFERROR(IF(OR($H6="", L5=""), "", IF($H6=2, SUM(IF(INDEX(_xlfn._xlws.FILTER(#REF!,#REF!= L$5), 0, MATCH($Q$2,#REF!, 0))&gt;1.9, 1, 0)), IF(SUM(IF(INDEX(_xlfn._xlws.FILTER(#REF!,#REF!= L$5), 0, MATCH($Q$2,#REF!, 0))=$H6, 1, 0))=0, "", SUM(IF(INDEX(_xlfn._xlws.FILTER(#REF!,#REF!= L$5), 0, MATCH($Q$2,#REF!, 0))=$H6, 1, 0))))), "")</f>
        <v/>
      </c>
      <c r="M6" s="35" t="str" cm="1">
        <f t="array" ref="M6">IFERROR(IF(OR($H6="", M5=""), "", IF($H6=2, SUM(IF(INDEX(_xlfn._xlws.FILTER(#REF!,#REF!= M$5), 0, MATCH($Q$2,#REF!, 0))&gt;1.9, 1, 0)), IF(SUM(IF(INDEX(_xlfn._xlws.FILTER(#REF!,#REF!= M$5), 0, MATCH($Q$2,#REF!, 0))=$H6, 1, 0))=0, "", SUM(IF(INDEX(_xlfn._xlws.FILTER(#REF!,#REF!= M$5), 0, MATCH($Q$2,#REF!, 0))=$H6, 1, 0))))), "")</f>
        <v/>
      </c>
      <c r="Z6" s="60"/>
    </row>
    <row r="7" spans="1:26" x14ac:dyDescent="0.55000000000000004">
      <c r="A7" s="37"/>
      <c r="B7" s="35" t="str" cm="1">
        <f t="array" ref="B7">IF($A7="", "", IF(SUM(IF(INDEX(_xlfn._xlws.FILTER(#REF!, tblPiNAnalysis[Population Group]=B$5), 0, MATCH(_xlfn.CONCAT($Q$2, "%"), #REF!, 0))=$A7, 1, 0))=0, "",SUM(IF(INDEX(_xlfn._xlws.FILTER(#REF!, tblPiNAnalysis[Population Group]=B$5), 0, MATCH(_xlfn.CONCAT($Q$2, "%"), #REF!, 0))=$A7, 1, 0))))</f>
        <v/>
      </c>
      <c r="C7" s="35" t="str" cm="1">
        <f t="array" ref="C7">IFERROR(IF(OR($A7="", C$5=""), "", IF(SUM(IF(INDEX(_xlfn._xlws.FILTER(#REF!, tblPiNAnalysis[Population Group]=C$5), 0, MATCH(_xlfn.CONCAT($Q$2, "%"), #REF!, 0))=$A7, 1, 0))=0, "",SUM(IF(INDEX(_xlfn._xlws.FILTER(#REF!, tblPiNAnalysis[Population Group]=C$5), 0, MATCH(_xlfn.CONCAT($Q$2, "%"), #REF!, 0))=$A7, 1, 0)))), "")</f>
        <v/>
      </c>
      <c r="D7" s="35" t="str" cm="1">
        <f t="array" ref="D7">IFERROR(IF(OR($A7="", D$5=""), "", IF(SUM(IF(INDEX(_xlfn._xlws.FILTER(#REF!, tblPiNAnalysis[Population Group]=D$5), 0, MATCH(_xlfn.CONCAT($Q$2, "%"), #REF!, 0))=$A7, 1, 0))=0, "",SUM(IF(INDEX(_xlfn._xlws.FILTER(#REF!, tblPiNAnalysis[Population Group]=D$5), 0, MATCH(_xlfn.CONCAT($Q$2, "%"), #REF!, 0))=$A7, 1, 0)))), "")</f>
        <v/>
      </c>
      <c r="E7" s="35" t="str" cm="1">
        <f t="array" ref="E7">IFERROR(IF(OR($A7="", E$5=""), "", IF(SUM(IF(INDEX(_xlfn._xlws.FILTER(#REF!, tblPiNAnalysis[Population Group]=E$5), 0, MATCH(_xlfn.CONCAT($Q$2, "%"), #REF!, 0))=$A7, 1, 0))=0, "",SUM(IF(INDEX(_xlfn._xlws.FILTER(#REF!, tblPiNAnalysis[Population Group]=E$5), 0, MATCH(_xlfn.CONCAT($Q$2, "%"), #REF!, 0))=$A7, 1, 0)))), "")</f>
        <v/>
      </c>
      <c r="F7" s="35" t="str" cm="1">
        <f t="array" ref="F7">IFERROR(IF(OR($A7="", F$5=""), "", IF(SUM(IF(INDEX(_xlfn._xlws.FILTER(#REF!, tblPiNAnalysis[CCCM]=F$5), 0, MATCH(_xlfn.CONCAT($Q$2, "%"), #REF!, 0))=$A7, 1, 0))=0, "",SUM(IF(INDEX(_xlfn._xlws.FILTER(#REF!, tblPiNAnalysis[CCCM]=F$5), 0, MATCH(_xlfn.CONCAT($Q$2, "%"), #REF!, 0))=$A7, 1, 0)))), "")</f>
        <v/>
      </c>
      <c r="H7" s="37"/>
      <c r="I7" s="35" t="str" cm="1">
        <f t="array" ref="I7">IF($H7="", "", IF($H7=2, SUM(IF(INDEX(_xlfn._xlws.FILTER(#REF!,#REF!= I$5), 0, MATCH($Q$2,#REF!, 0))&gt;1.9, 1, 0)), IF(SUM(IF(INDEX(_xlfn._xlws.FILTER(#REF!,#REF!= I$5), 0, MATCH($Q$2,#REF!, 0))=$H7, 1, 0))=0, "", SUM(IF(INDEX(_xlfn._xlws.FILTER(#REF!,#REF!= I$5), 0, MATCH($Q$2,#REF!, 0))=$H7, 1, 0)))))</f>
        <v/>
      </c>
      <c r="J7" s="35" t="str" cm="1">
        <f t="array" ref="J7">IFERROR(IF(OR($H7="", J6=""), "", IF($H7=2, SUM(IF(INDEX(_xlfn._xlws.FILTER(#REF!,#REF!= J$5), 0, MATCH($Q$2,#REF!, 0))&gt;1.9, 1, 0)), IF(SUM(IF(INDEX(_xlfn._xlws.FILTER(#REF!,#REF!= J$5), 0, MATCH($Q$2,#REF!, 0))=$H7, 1, 0))=0, "", SUM(IF(INDEX(_xlfn._xlws.FILTER(#REF!,#REF!= J$5), 0, MATCH($Q$2,#REF!, 0))=$H7, 1, 0))))), "")</f>
        <v/>
      </c>
      <c r="K7" s="35" t="str" cm="1">
        <f t="array" ref="K7">IFERROR(IF(OR($H7="", K6=""), "", IF($H7=2, SUM(IF(INDEX(_xlfn._xlws.FILTER(#REF!,#REF!= K$5), 0, MATCH($Q$2,#REF!, 0))&gt;1.9, 1, 0)), IF(SUM(IF(INDEX(_xlfn._xlws.FILTER(#REF!,#REF!= K$5), 0, MATCH($Q$2,#REF!, 0))=$H7, 1, 0))=0, "", SUM(IF(INDEX(_xlfn._xlws.FILTER(#REF!,#REF!= K$5), 0, MATCH($Q$2,#REF!, 0))=$H7, 1, 0))))), "")</f>
        <v/>
      </c>
      <c r="L7" s="35" t="str" cm="1">
        <f t="array" ref="L7">IFERROR(IF(OR($H7="", L6=""), "", IF($H7=2, SUM(IF(INDEX(_xlfn._xlws.FILTER(#REF!,#REF!= L$5), 0, MATCH($Q$2,#REF!, 0))&gt;1.9, 1, 0)), IF(SUM(IF(INDEX(_xlfn._xlws.FILTER(#REF!,#REF!= L$5), 0, MATCH($Q$2,#REF!, 0))=$H7, 1, 0))=0, "", SUM(IF(INDEX(_xlfn._xlws.FILTER(#REF!,#REF!= L$5), 0, MATCH($Q$2,#REF!, 0))=$H7, 1, 0))))), "")</f>
        <v/>
      </c>
      <c r="M7" s="35" t="str" cm="1">
        <f t="array" ref="M7">IFERROR(IF(OR($H7="", M6=""), "", IF($H7=2, SUM(IF(INDEX(_xlfn._xlws.FILTER(#REF!,#REF!= M$5), 0, MATCH($Q$2,#REF!, 0))&gt;1.9, 1, 0)), IF(SUM(IF(INDEX(_xlfn._xlws.FILTER(#REF!,#REF!= M$5), 0, MATCH($Q$2,#REF!, 0))=$H7, 1, 0))=0, "", SUM(IF(INDEX(_xlfn._xlws.FILTER(#REF!,#REF!= M$5), 0, MATCH($Q$2,#REF!, 0))=$H7, 1, 0))))), "")</f>
        <v/>
      </c>
      <c r="Z7" s="60"/>
    </row>
    <row r="8" spans="1:26" x14ac:dyDescent="0.55000000000000004">
      <c r="A8" s="37"/>
      <c r="B8" s="35" t="str" cm="1">
        <f t="array" ref="B8">IF($A8="", "", IF(SUM(IF(INDEX(_xlfn._xlws.FILTER(#REF!, tblPiNAnalysis[Population Group]=B$5), 0, MATCH(_xlfn.CONCAT($Q$2, "%"), #REF!, 0))=$A8, 1, 0))=0, "",SUM(IF(INDEX(_xlfn._xlws.FILTER(#REF!, tblPiNAnalysis[Population Group]=B$5), 0, MATCH(_xlfn.CONCAT($Q$2, "%"), #REF!, 0))=$A8, 1, 0))))</f>
        <v/>
      </c>
      <c r="C8" s="35" t="str" cm="1">
        <f t="array" ref="C8">IFERROR(IF(OR($A8="", C$5=""), "", IF(SUM(IF(INDEX(_xlfn._xlws.FILTER(#REF!, tblPiNAnalysis[Population Group]=C$5), 0, MATCH(_xlfn.CONCAT($Q$2, "%"), #REF!, 0))=$A8, 1, 0))=0, "",SUM(IF(INDEX(_xlfn._xlws.FILTER(#REF!, tblPiNAnalysis[Population Group]=C$5), 0, MATCH(_xlfn.CONCAT($Q$2, "%"), #REF!, 0))=$A8, 1, 0)))), "")</f>
        <v/>
      </c>
      <c r="D8" s="35" t="str" cm="1">
        <f t="array" ref="D8">IFERROR(IF(OR($A8="", D$5=""), "", IF(SUM(IF(INDEX(_xlfn._xlws.FILTER(#REF!, tblPiNAnalysis[Population Group]=D$5), 0, MATCH(_xlfn.CONCAT($Q$2, "%"), #REF!, 0))=$A8, 1, 0))=0, "",SUM(IF(INDEX(_xlfn._xlws.FILTER(#REF!, tblPiNAnalysis[Population Group]=D$5), 0, MATCH(_xlfn.CONCAT($Q$2, "%"), #REF!, 0))=$A8, 1, 0)))), "")</f>
        <v/>
      </c>
      <c r="E8" s="35" t="str" cm="1">
        <f t="array" ref="E8">IFERROR(IF(OR($A8="", E$5=""), "", IF(SUM(IF(INDEX(_xlfn._xlws.FILTER(#REF!, tblPiNAnalysis[Population Group]=E$5), 0, MATCH(_xlfn.CONCAT($Q$2, "%"), #REF!, 0))=$A8, 1, 0))=0, "",SUM(IF(INDEX(_xlfn._xlws.FILTER(#REF!, tblPiNAnalysis[Population Group]=E$5), 0, MATCH(_xlfn.CONCAT($Q$2, "%"), #REF!, 0))=$A8, 1, 0)))), "")</f>
        <v/>
      </c>
      <c r="F8" s="35" t="str" cm="1">
        <f t="array" ref="F8">IFERROR(IF(OR($A8="", F$5=""), "", IF(SUM(IF(INDEX(_xlfn._xlws.FILTER(#REF!, tblPiNAnalysis[CCCM]=F$5), 0, MATCH(_xlfn.CONCAT($Q$2, "%"), #REF!, 0))=$A8, 1, 0))=0, "",SUM(IF(INDEX(_xlfn._xlws.FILTER(#REF!, tblPiNAnalysis[CCCM]=F$5), 0, MATCH(_xlfn.CONCAT($Q$2, "%"), #REF!, 0))=$A8, 1, 0)))), "")</f>
        <v/>
      </c>
      <c r="H8" s="37"/>
      <c r="I8" s="35" t="str" cm="1">
        <f t="array" ref="I8">IF($H8="", "", IF($H8=2, SUM(IF(INDEX(_xlfn._xlws.FILTER(#REF!,#REF!= I$5), 0, MATCH($Q$2,#REF!, 0))&gt;1.9, 1, 0)), IF(SUM(IF(INDEX(_xlfn._xlws.FILTER(#REF!,#REF!= I$5), 0, MATCH($Q$2,#REF!, 0))=$H8, 1, 0))=0, "", SUM(IF(INDEX(_xlfn._xlws.FILTER(#REF!,#REF!= I$5), 0, MATCH($Q$2,#REF!, 0))=$H8, 1, 0)))))</f>
        <v/>
      </c>
      <c r="J8" s="35" t="str" cm="1">
        <f t="array" ref="J8">IFERROR(IF(OR($H8="", J7=""), "", IF($H8=2, SUM(IF(INDEX(_xlfn._xlws.FILTER(#REF!,#REF!= J$5), 0, MATCH($Q$2,#REF!, 0))&gt;1.9, 1, 0)), IF(SUM(IF(INDEX(_xlfn._xlws.FILTER(#REF!,#REF!= J$5), 0, MATCH($Q$2,#REF!, 0))=$H8, 1, 0))=0, "", SUM(IF(INDEX(_xlfn._xlws.FILTER(#REF!,#REF!= J$5), 0, MATCH($Q$2,#REF!, 0))=$H8, 1, 0))))), "")</f>
        <v/>
      </c>
      <c r="K8" s="35" t="str" cm="1">
        <f t="array" ref="K8">IFERROR(IF(OR($H8="", K7=""), "", IF($H8=2, SUM(IF(INDEX(_xlfn._xlws.FILTER(#REF!,#REF!= K$5), 0, MATCH($Q$2,#REF!, 0))&gt;1.9, 1, 0)), IF(SUM(IF(INDEX(_xlfn._xlws.FILTER(#REF!,#REF!= K$5), 0, MATCH($Q$2,#REF!, 0))=$H8, 1, 0))=0, "", SUM(IF(INDEX(_xlfn._xlws.FILTER(#REF!,#REF!= K$5), 0, MATCH($Q$2,#REF!, 0))=$H8, 1, 0))))), "")</f>
        <v/>
      </c>
      <c r="L8" s="35" t="str" cm="1">
        <f t="array" ref="L8">IFERROR(IF(OR($H8="", L7=""), "", IF($H8=2, SUM(IF(INDEX(_xlfn._xlws.FILTER(#REF!,#REF!= L$5), 0, MATCH($Q$2,#REF!, 0))&gt;1.9, 1, 0)), IF(SUM(IF(INDEX(_xlfn._xlws.FILTER(#REF!,#REF!= L$5), 0, MATCH($Q$2,#REF!, 0))=$H8, 1, 0))=0, "", SUM(IF(INDEX(_xlfn._xlws.FILTER(#REF!,#REF!= L$5), 0, MATCH($Q$2,#REF!, 0))=$H8, 1, 0))))), "")</f>
        <v/>
      </c>
      <c r="M8" s="35" t="str" cm="1">
        <f t="array" ref="M8">IFERROR(IF(OR($H8="", M7=""), "", IF($H8=2, SUM(IF(INDEX(_xlfn._xlws.FILTER(#REF!,#REF!= M$5), 0, MATCH($Q$2,#REF!, 0))&gt;1.9, 1, 0)), IF(SUM(IF(INDEX(_xlfn._xlws.FILTER(#REF!,#REF!= M$5), 0, MATCH($Q$2,#REF!, 0))=$H8, 1, 0))=0, "", SUM(IF(INDEX(_xlfn._xlws.FILTER(#REF!,#REF!= M$5), 0, MATCH($Q$2,#REF!, 0))=$H8, 1, 0))))), "")</f>
        <v/>
      </c>
      <c r="Z8" s="60"/>
    </row>
    <row r="9" spans="1:26" x14ac:dyDescent="0.55000000000000004">
      <c r="A9" s="37"/>
      <c r="B9" s="35" t="str" cm="1">
        <f t="array" ref="B9">IF($A9="", "", IF(SUM(IF(INDEX(_xlfn._xlws.FILTER(#REF!, tblPiNAnalysis[Population Group]=B$5), 0, MATCH(_xlfn.CONCAT($Q$2, "%"), #REF!, 0))=$A9, 1, 0))=0, "",SUM(IF(INDEX(_xlfn._xlws.FILTER(#REF!, tblPiNAnalysis[Population Group]=B$5), 0, MATCH(_xlfn.CONCAT($Q$2, "%"), #REF!, 0))=$A9, 1, 0))))</f>
        <v/>
      </c>
      <c r="C9" s="35" t="str" cm="1">
        <f t="array" ref="C9">IFERROR(IF(OR($A9="", C$5=""), "", IF(SUM(IF(INDEX(_xlfn._xlws.FILTER(#REF!, tblPiNAnalysis[Population Group]=C$5), 0, MATCH(_xlfn.CONCAT($Q$2, "%"), #REF!, 0))=$A9, 1, 0))=0, "",SUM(IF(INDEX(_xlfn._xlws.FILTER(#REF!, tblPiNAnalysis[Population Group]=C$5), 0, MATCH(_xlfn.CONCAT($Q$2, "%"), #REF!, 0))=$A9, 1, 0)))), "")</f>
        <v/>
      </c>
      <c r="D9" s="35" t="str" cm="1">
        <f t="array" ref="D9">IFERROR(IF(OR($A9="", D$5=""), "", IF(SUM(IF(INDEX(_xlfn._xlws.FILTER(#REF!, tblPiNAnalysis[Population Group]=D$5), 0, MATCH(_xlfn.CONCAT($Q$2, "%"), #REF!, 0))=$A9, 1, 0))=0, "",SUM(IF(INDEX(_xlfn._xlws.FILTER(#REF!, tblPiNAnalysis[Population Group]=D$5), 0, MATCH(_xlfn.CONCAT($Q$2, "%"), #REF!, 0))=$A9, 1, 0)))), "")</f>
        <v/>
      </c>
      <c r="E9" s="35" t="str" cm="1">
        <f t="array" ref="E9">IFERROR(IF(OR($A9="", E$5=""), "", IF(SUM(IF(INDEX(_xlfn._xlws.FILTER(#REF!, tblPiNAnalysis[Population Group]=E$5), 0, MATCH(_xlfn.CONCAT($Q$2, "%"), #REF!, 0))=$A9, 1, 0))=0, "",SUM(IF(INDEX(_xlfn._xlws.FILTER(#REF!, tblPiNAnalysis[Population Group]=E$5), 0, MATCH(_xlfn.CONCAT($Q$2, "%"), #REF!, 0))=$A9, 1, 0)))), "")</f>
        <v/>
      </c>
      <c r="F9" s="35" t="str" cm="1">
        <f t="array" ref="F9">IFERROR(IF(OR($A9="", F$5=""), "", IF(SUM(IF(INDEX(_xlfn._xlws.FILTER(#REF!, tblPiNAnalysis[CCCM]=F$5), 0, MATCH(_xlfn.CONCAT($Q$2, "%"), #REF!, 0))=$A9, 1, 0))=0, "",SUM(IF(INDEX(_xlfn._xlws.FILTER(#REF!, tblPiNAnalysis[CCCM]=F$5), 0, MATCH(_xlfn.CONCAT($Q$2, "%"), #REF!, 0))=$A9, 1, 0)))), "")</f>
        <v/>
      </c>
      <c r="H9" s="37"/>
      <c r="I9" s="35" t="str" cm="1">
        <f t="array" ref="I9">IF($H9="", "", IF($H9=2, SUM(IF(INDEX(_xlfn._xlws.FILTER(#REF!,#REF!= I$5), 0, MATCH($Q$2,#REF!, 0))&gt;1.9, 1, 0)), IF(SUM(IF(INDEX(_xlfn._xlws.FILTER(#REF!,#REF!= I$5), 0, MATCH($Q$2,#REF!, 0))=$H9, 1, 0))=0, "", SUM(IF(INDEX(_xlfn._xlws.FILTER(#REF!,#REF!= I$5), 0, MATCH($Q$2,#REF!, 0))=$H9, 1, 0)))))</f>
        <v/>
      </c>
      <c r="J9" s="35" t="str" cm="1">
        <f t="array" ref="J9">IFERROR(IF(OR($H9="", J8=""), "", IF($H9=2, SUM(IF(INDEX(_xlfn._xlws.FILTER(#REF!,#REF!= J$5), 0, MATCH($Q$2,#REF!, 0))&gt;1.9, 1, 0)), IF(SUM(IF(INDEX(_xlfn._xlws.FILTER(#REF!,#REF!= J$5), 0, MATCH($Q$2,#REF!, 0))=$H9, 1, 0))=0, "", SUM(IF(INDEX(_xlfn._xlws.FILTER(#REF!,#REF!= J$5), 0, MATCH($Q$2,#REF!, 0))=$H9, 1, 0))))), "")</f>
        <v/>
      </c>
      <c r="K9" s="35" t="str" cm="1">
        <f t="array" ref="K9">IFERROR(IF(OR($H9="", K8=""), "", IF($H9=2, SUM(IF(INDEX(_xlfn._xlws.FILTER(#REF!,#REF!= K$5), 0, MATCH($Q$2,#REF!, 0))&gt;1.9, 1, 0)), IF(SUM(IF(INDEX(_xlfn._xlws.FILTER(#REF!,#REF!= K$5), 0, MATCH($Q$2,#REF!, 0))=$H9, 1, 0))=0, "", SUM(IF(INDEX(_xlfn._xlws.FILTER(#REF!,#REF!= K$5), 0, MATCH($Q$2,#REF!, 0))=$H9, 1, 0))))), "")</f>
        <v/>
      </c>
      <c r="L9" s="35" t="str" cm="1">
        <f t="array" ref="L9">IFERROR(IF(OR($H9="", L8=""), "", IF($H9=2, SUM(IF(INDEX(_xlfn._xlws.FILTER(#REF!,#REF!= L$5), 0, MATCH($Q$2,#REF!, 0))&gt;1.9, 1, 0)), IF(SUM(IF(INDEX(_xlfn._xlws.FILTER(#REF!,#REF!= L$5), 0, MATCH($Q$2,#REF!, 0))=$H9, 1, 0))=0, "", SUM(IF(INDEX(_xlfn._xlws.FILTER(#REF!,#REF!= L$5), 0, MATCH($Q$2,#REF!, 0))=$H9, 1, 0))))), "")</f>
        <v/>
      </c>
      <c r="M9" s="35" t="str" cm="1">
        <f t="array" ref="M9">IFERROR(IF(OR($H9="", M8=""), "", IF($H9=2, SUM(IF(INDEX(_xlfn._xlws.FILTER(#REF!,#REF!= M$5), 0, MATCH($Q$2,#REF!, 0))&gt;1.9, 1, 0)), IF(SUM(IF(INDEX(_xlfn._xlws.FILTER(#REF!,#REF!= M$5), 0, MATCH($Q$2,#REF!, 0))=$H9, 1, 0))=0, "", SUM(IF(INDEX(_xlfn._xlws.FILTER(#REF!,#REF!= M$5), 0, MATCH($Q$2,#REF!, 0))=$H9, 1, 0))))), "")</f>
        <v/>
      </c>
      <c r="Z9" s="60"/>
    </row>
    <row r="10" spans="1:26" x14ac:dyDescent="0.55000000000000004">
      <c r="A10" s="37"/>
      <c r="B10" s="35" t="str" cm="1">
        <f t="array" ref="B10">IF($A10="", "", IF(SUM(IF(INDEX(_xlfn._xlws.FILTER(#REF!, tblPiNAnalysis[Population Group]=B$5), 0, MATCH(_xlfn.CONCAT($Q$2, "%"), #REF!, 0))=$A10, 1, 0))=0, "",SUM(IF(INDEX(_xlfn._xlws.FILTER(#REF!, tblPiNAnalysis[Population Group]=B$5), 0, MATCH(_xlfn.CONCAT($Q$2, "%"), #REF!, 0))=$A10, 1, 0))))</f>
        <v/>
      </c>
      <c r="C10" s="35" t="str" cm="1">
        <f t="array" ref="C10">IFERROR(IF(OR($A10="", C$5=""), "", IF(SUM(IF(INDEX(_xlfn._xlws.FILTER(#REF!, tblPiNAnalysis[Population Group]=C$5), 0, MATCH(_xlfn.CONCAT($Q$2, "%"), #REF!, 0))=$A10, 1, 0))=0, "",SUM(IF(INDEX(_xlfn._xlws.FILTER(#REF!, tblPiNAnalysis[Population Group]=C$5), 0, MATCH(_xlfn.CONCAT($Q$2, "%"), #REF!, 0))=$A10, 1, 0)))), "")</f>
        <v/>
      </c>
      <c r="D10" s="35" t="str" cm="1">
        <f t="array" ref="D10">IFERROR(IF(OR($A10="", D$5=""), "", IF(SUM(IF(INDEX(_xlfn._xlws.FILTER(#REF!, tblPiNAnalysis[Population Group]=D$5), 0, MATCH(_xlfn.CONCAT($Q$2, "%"), #REF!, 0))=$A10, 1, 0))=0, "",SUM(IF(INDEX(_xlfn._xlws.FILTER(#REF!, tblPiNAnalysis[Population Group]=D$5), 0, MATCH(_xlfn.CONCAT($Q$2, "%"), #REF!, 0))=$A10, 1, 0)))), "")</f>
        <v/>
      </c>
      <c r="E10" s="35" t="str" cm="1">
        <f t="array" ref="E10">IFERROR(IF(OR($A10="", E$5=""), "", IF(SUM(IF(INDEX(_xlfn._xlws.FILTER(#REF!, tblPiNAnalysis[Population Group]=E$5), 0, MATCH(_xlfn.CONCAT($Q$2, "%"), #REF!, 0))=$A10, 1, 0))=0, "",SUM(IF(INDEX(_xlfn._xlws.FILTER(#REF!, tblPiNAnalysis[Population Group]=E$5), 0, MATCH(_xlfn.CONCAT($Q$2, "%"), #REF!, 0))=$A10, 1, 0)))), "")</f>
        <v/>
      </c>
      <c r="F10" s="35" t="str" cm="1">
        <f t="array" ref="F10">IFERROR(IF(OR($A10="", F$5=""), "", IF(SUM(IF(INDEX(_xlfn._xlws.FILTER(#REF!, tblPiNAnalysis[CCCM]=F$5), 0, MATCH(_xlfn.CONCAT($Q$2, "%"), #REF!, 0))=$A10, 1, 0))=0, "",SUM(IF(INDEX(_xlfn._xlws.FILTER(#REF!, tblPiNAnalysis[CCCM]=F$5), 0, MATCH(_xlfn.CONCAT($Q$2, "%"), #REF!, 0))=$A10, 1, 0)))), "")</f>
        <v/>
      </c>
      <c r="H10" s="37"/>
      <c r="I10" s="35" t="str" cm="1">
        <f t="array" ref="I10">IF($H10="", "", IF($H10=2, SUM(IF(INDEX(_xlfn._xlws.FILTER(#REF!,#REF!= I$5), 0, MATCH($Q$2,#REF!, 0))&gt;1.9, 1, 0)), IF(SUM(IF(INDEX(_xlfn._xlws.FILTER(#REF!,#REF!= I$5), 0, MATCH($Q$2,#REF!, 0))=$H10, 1, 0))=0, "", SUM(IF(INDEX(_xlfn._xlws.FILTER(#REF!,#REF!= I$5), 0, MATCH($Q$2,#REF!, 0))=$H10, 1, 0)))))</f>
        <v/>
      </c>
      <c r="J10" s="35" t="str" cm="1">
        <f t="array" ref="J10">IFERROR(IF(OR($H10="", J9=""), "", IF($H10=2, SUM(IF(INDEX(_xlfn._xlws.FILTER(#REF!,#REF!= J$5), 0, MATCH($Q$2,#REF!, 0))&gt;1.9, 1, 0)), IF(SUM(IF(INDEX(_xlfn._xlws.FILTER(#REF!,#REF!= J$5), 0, MATCH($Q$2,#REF!, 0))=$H10, 1, 0))=0, "", SUM(IF(INDEX(_xlfn._xlws.FILTER(#REF!,#REF!= J$5), 0, MATCH($Q$2,#REF!, 0))=$H10, 1, 0))))), "")</f>
        <v/>
      </c>
      <c r="K10" s="35" t="str" cm="1">
        <f t="array" ref="K10">IFERROR(IF(OR($H10="", K9=""), "", IF($H10=2, SUM(IF(INDEX(_xlfn._xlws.FILTER(#REF!,#REF!= K$5), 0, MATCH($Q$2,#REF!, 0))&gt;1.9, 1, 0)), IF(SUM(IF(INDEX(_xlfn._xlws.FILTER(#REF!,#REF!= K$5), 0, MATCH($Q$2,#REF!, 0))=$H10, 1, 0))=0, "", SUM(IF(INDEX(_xlfn._xlws.FILTER(#REF!,#REF!= K$5), 0, MATCH($Q$2,#REF!, 0))=$H10, 1, 0))))), "")</f>
        <v/>
      </c>
      <c r="L10" s="35" t="str" cm="1">
        <f t="array" ref="L10">IFERROR(IF(OR($H10="", L9=""), "", IF($H10=2, SUM(IF(INDEX(_xlfn._xlws.FILTER(#REF!,#REF!= L$5), 0, MATCH($Q$2,#REF!, 0))&gt;1.9, 1, 0)), IF(SUM(IF(INDEX(_xlfn._xlws.FILTER(#REF!,#REF!= L$5), 0, MATCH($Q$2,#REF!, 0))=$H10, 1, 0))=0, "", SUM(IF(INDEX(_xlfn._xlws.FILTER(#REF!,#REF!= L$5), 0, MATCH($Q$2,#REF!, 0))=$H10, 1, 0))))), "")</f>
        <v/>
      </c>
      <c r="M10" s="35" t="str" cm="1">
        <f t="array" ref="M10">IFERROR(IF(OR($H10="", M9=""), "", IF($H10=2, SUM(IF(INDEX(_xlfn._xlws.FILTER(#REF!,#REF!= M$5), 0, MATCH($Q$2,#REF!, 0))&gt;1.9, 1, 0)), IF(SUM(IF(INDEX(_xlfn._xlws.FILTER(#REF!,#REF!= M$5), 0, MATCH($Q$2,#REF!, 0))=$H10, 1, 0))=0, "", SUM(IF(INDEX(_xlfn._xlws.FILTER(#REF!,#REF!= M$5), 0, MATCH($Q$2,#REF!, 0))=$H10, 1, 0))))), "")</f>
        <v/>
      </c>
      <c r="Z10" s="60"/>
    </row>
    <row r="11" spans="1:26" x14ac:dyDescent="0.55000000000000004">
      <c r="A11" s="37"/>
      <c r="B11" s="35" t="str" cm="1">
        <f t="array" ref="B11">IF($A11="", "", IF(SUM(IF(INDEX(_xlfn._xlws.FILTER(#REF!, tblPiNAnalysis[Population Group]=B$5), 0, MATCH(_xlfn.CONCAT($Q$2, "%"), #REF!, 0))=$A11, 1, 0))=0, "",SUM(IF(INDEX(_xlfn._xlws.FILTER(#REF!, tblPiNAnalysis[Population Group]=B$5), 0, MATCH(_xlfn.CONCAT($Q$2, "%"), #REF!, 0))=$A11, 1, 0))))</f>
        <v/>
      </c>
      <c r="C11" s="35" t="str" cm="1">
        <f t="array" ref="C11">IFERROR(IF(OR($A11="", C$5=""), "", IF(SUM(IF(INDEX(_xlfn._xlws.FILTER(#REF!, tblPiNAnalysis[Population Group]=C$5), 0, MATCH(_xlfn.CONCAT($Q$2, "%"), #REF!, 0))=$A11, 1, 0))=0, "",SUM(IF(INDEX(_xlfn._xlws.FILTER(#REF!, tblPiNAnalysis[Population Group]=C$5), 0, MATCH(_xlfn.CONCAT($Q$2, "%"), #REF!, 0))=$A11, 1, 0)))), "")</f>
        <v/>
      </c>
      <c r="D11" s="35" t="str" cm="1">
        <f t="array" ref="D11">IFERROR(IF(OR($A11="", D$5=""), "", IF(SUM(IF(INDEX(_xlfn._xlws.FILTER(#REF!, tblPiNAnalysis[Population Group]=D$5), 0, MATCH(_xlfn.CONCAT($Q$2, "%"), #REF!, 0))=$A11, 1, 0))=0, "",SUM(IF(INDEX(_xlfn._xlws.FILTER(#REF!, tblPiNAnalysis[Population Group]=D$5), 0, MATCH(_xlfn.CONCAT($Q$2, "%"), #REF!, 0))=$A11, 1, 0)))), "")</f>
        <v/>
      </c>
      <c r="E11" s="35" t="str" cm="1">
        <f t="array" ref="E11">IFERROR(IF(OR($A11="", E$5=""), "", IF(SUM(IF(INDEX(_xlfn._xlws.FILTER(#REF!, tblPiNAnalysis[Population Group]=E$5), 0, MATCH(_xlfn.CONCAT($Q$2, "%"), #REF!, 0))=$A11, 1, 0))=0, "",SUM(IF(INDEX(_xlfn._xlws.FILTER(#REF!, tblPiNAnalysis[Population Group]=E$5), 0, MATCH(_xlfn.CONCAT($Q$2, "%"), #REF!, 0))=$A11, 1, 0)))), "")</f>
        <v/>
      </c>
      <c r="F11" s="35" t="str" cm="1">
        <f t="array" ref="F11">IFERROR(IF(OR($A11="", F$5=""), "", IF(SUM(IF(INDEX(_xlfn._xlws.FILTER(#REF!, tblPiNAnalysis[CCCM]=F$5), 0, MATCH(_xlfn.CONCAT($Q$2, "%"), #REF!, 0))=$A11, 1, 0))=0, "",SUM(IF(INDEX(_xlfn._xlws.FILTER(#REF!, tblPiNAnalysis[CCCM]=F$5), 0, MATCH(_xlfn.CONCAT($Q$2, "%"), #REF!, 0))=$A11, 1, 0)))), "")</f>
        <v/>
      </c>
      <c r="H11" s="37"/>
      <c r="I11" s="35" t="str" cm="1">
        <f t="array" ref="I11">IF($H11="", "", IF($H11=2, SUM(IF(INDEX(_xlfn._xlws.FILTER(#REF!,#REF!= I$5), 0, MATCH($Q$2,#REF!, 0))&gt;1.9, 1, 0)), IF(SUM(IF(INDEX(_xlfn._xlws.FILTER(#REF!,#REF!= I$5), 0, MATCH($Q$2,#REF!, 0))=$H11, 1, 0))=0, "", SUM(IF(INDEX(_xlfn._xlws.FILTER(#REF!,#REF!= I$5), 0, MATCH($Q$2,#REF!, 0))=$H11, 1, 0)))))</f>
        <v/>
      </c>
      <c r="J11" s="35" t="str" cm="1">
        <f t="array" ref="J11">IFERROR(IF(OR($H11="", J10=""), "", IF($H11=2, SUM(IF(INDEX(_xlfn._xlws.FILTER(#REF!,#REF!= J$5), 0, MATCH($Q$2,#REF!, 0))&gt;1.9, 1, 0)), IF(SUM(IF(INDEX(_xlfn._xlws.FILTER(#REF!,#REF!= J$5), 0, MATCH($Q$2,#REF!, 0))=$H11, 1, 0))=0, "", SUM(IF(INDEX(_xlfn._xlws.FILTER(#REF!,#REF!= J$5), 0, MATCH($Q$2,#REF!, 0))=$H11, 1, 0))))), "")</f>
        <v/>
      </c>
      <c r="K11" s="35" t="str" cm="1">
        <f t="array" ref="K11">IFERROR(IF(OR($H11="", K10=""), "", IF($H11=2, SUM(IF(INDEX(_xlfn._xlws.FILTER(#REF!,#REF!= K$5), 0, MATCH($Q$2,#REF!, 0))&gt;1.9, 1, 0)), IF(SUM(IF(INDEX(_xlfn._xlws.FILTER(#REF!,#REF!= K$5), 0, MATCH($Q$2,#REF!, 0))=$H11, 1, 0))=0, "", SUM(IF(INDEX(_xlfn._xlws.FILTER(#REF!,#REF!= K$5), 0, MATCH($Q$2,#REF!, 0))=$H11, 1, 0))))), "")</f>
        <v/>
      </c>
      <c r="L11" s="35" t="str" cm="1">
        <f t="array" ref="L11">IFERROR(IF(OR($H11="", L10=""), "", IF($H11=2, SUM(IF(INDEX(_xlfn._xlws.FILTER(#REF!,#REF!= L$5), 0, MATCH($Q$2,#REF!, 0))&gt;1.9, 1, 0)), IF(SUM(IF(INDEX(_xlfn._xlws.FILTER(#REF!,#REF!= L$5), 0, MATCH($Q$2,#REF!, 0))=$H11, 1, 0))=0, "", SUM(IF(INDEX(_xlfn._xlws.FILTER(#REF!,#REF!= L$5), 0, MATCH($Q$2,#REF!, 0))=$H11, 1, 0))))), "")</f>
        <v/>
      </c>
      <c r="M11" s="35" t="str" cm="1">
        <f t="array" ref="M11">IFERROR(IF(OR($H11="", M10=""), "", IF($H11=2, SUM(IF(INDEX(_xlfn._xlws.FILTER(#REF!,#REF!= M$5), 0, MATCH($Q$2,#REF!, 0))&gt;1.9, 1, 0)), IF(SUM(IF(INDEX(_xlfn._xlws.FILTER(#REF!,#REF!= M$5), 0, MATCH($Q$2,#REF!, 0))=$H11, 1, 0))=0, "", SUM(IF(INDEX(_xlfn._xlws.FILTER(#REF!,#REF!= M$5), 0, MATCH($Q$2,#REF!, 0))=$H11, 1, 0))))), "")</f>
        <v/>
      </c>
      <c r="Z11" s="60"/>
    </row>
    <row r="12" spans="1:26" x14ac:dyDescent="0.55000000000000004">
      <c r="A12" s="37"/>
      <c r="B12" s="35" t="str" cm="1">
        <f t="array" ref="B12">IF($A12="", "", IF(SUM(IF(INDEX(_xlfn._xlws.FILTER(#REF!, tblPiNAnalysis[Population Group]=B$5), 0, MATCH(_xlfn.CONCAT($Q$2, "%"), #REF!, 0))=$A12, 1, 0))=0, "",SUM(IF(INDEX(_xlfn._xlws.FILTER(#REF!, tblPiNAnalysis[Population Group]=B$5), 0, MATCH(_xlfn.CONCAT($Q$2, "%"), #REF!, 0))=$A12, 1, 0))))</f>
        <v/>
      </c>
      <c r="C12" s="35" t="str" cm="1">
        <f t="array" ref="C12">IFERROR(IF(OR($A12="", C$5=""), "", IF(SUM(IF(INDEX(_xlfn._xlws.FILTER(#REF!, tblPiNAnalysis[Population Group]=C$5), 0, MATCH(_xlfn.CONCAT($Q$2, "%"), #REF!, 0))=$A12, 1, 0))=0, "",SUM(IF(INDEX(_xlfn._xlws.FILTER(#REF!, tblPiNAnalysis[Population Group]=C$5), 0, MATCH(_xlfn.CONCAT($Q$2, "%"), #REF!, 0))=$A12, 1, 0)))), "")</f>
        <v/>
      </c>
      <c r="D12" s="35" t="str" cm="1">
        <f t="array" ref="D12">IFERROR(IF(OR($A12="", D$5=""), "", IF(SUM(IF(INDEX(_xlfn._xlws.FILTER(#REF!, tblPiNAnalysis[Population Group]=D$5), 0, MATCH(_xlfn.CONCAT($Q$2, "%"), #REF!, 0))=$A12, 1, 0))=0, "",SUM(IF(INDEX(_xlfn._xlws.FILTER(#REF!, tblPiNAnalysis[Population Group]=D$5), 0, MATCH(_xlfn.CONCAT($Q$2, "%"), #REF!, 0))=$A12, 1, 0)))), "")</f>
        <v/>
      </c>
      <c r="E12" s="35" t="str" cm="1">
        <f t="array" ref="E12">IFERROR(IF(OR($A12="", E$5=""), "", IF(SUM(IF(INDEX(_xlfn._xlws.FILTER(#REF!, tblPiNAnalysis[Population Group]=E$5), 0, MATCH(_xlfn.CONCAT($Q$2, "%"), #REF!, 0))=$A12, 1, 0))=0, "",SUM(IF(INDEX(_xlfn._xlws.FILTER(#REF!, tblPiNAnalysis[Population Group]=E$5), 0, MATCH(_xlfn.CONCAT($Q$2, "%"), #REF!, 0))=$A12, 1, 0)))), "")</f>
        <v/>
      </c>
      <c r="F12" s="35" t="str" cm="1">
        <f t="array" ref="F12">IFERROR(IF(OR($A12="", F$5=""), "", IF(SUM(IF(INDEX(_xlfn._xlws.FILTER(#REF!, tblPiNAnalysis[CCCM]=F$5), 0, MATCH(_xlfn.CONCAT($Q$2, "%"), #REF!, 0))=$A12, 1, 0))=0, "",SUM(IF(INDEX(_xlfn._xlws.FILTER(#REF!, tblPiNAnalysis[CCCM]=F$5), 0, MATCH(_xlfn.CONCAT($Q$2, "%"), #REF!, 0))=$A12, 1, 0)))), "")</f>
        <v/>
      </c>
      <c r="H12" s="37"/>
      <c r="I12" s="35" t="str" cm="1">
        <f t="array" ref="I12">IF($H12="", "", IF($H12=2, SUM(IF(INDEX(_xlfn._xlws.FILTER(#REF!,#REF!= I$5), 0, MATCH($Q$2,#REF!, 0))&gt;1.9, 1, 0)), IF(SUM(IF(INDEX(_xlfn._xlws.FILTER(#REF!,#REF!= I$5), 0, MATCH($Q$2,#REF!, 0))=$H12, 1, 0))=0, "", SUM(IF(INDEX(_xlfn._xlws.FILTER(#REF!,#REF!= I$5), 0, MATCH($Q$2,#REF!, 0))=$H12, 1, 0)))))</f>
        <v/>
      </c>
      <c r="J12" s="35" t="str" cm="1">
        <f t="array" ref="J12">IFERROR(IF(OR($H12="", J11=""), "", IF($H12=2, SUM(IF(INDEX(_xlfn._xlws.FILTER(#REF!,#REF!= J$5), 0, MATCH($Q$2,#REF!, 0))&gt;1.9, 1, 0)), IF(SUM(IF(INDEX(_xlfn._xlws.FILTER(#REF!,#REF!= J$5), 0, MATCH($Q$2,#REF!, 0))=$H12, 1, 0))=0, "", SUM(IF(INDEX(_xlfn._xlws.FILTER(#REF!,#REF!= J$5), 0, MATCH($Q$2,#REF!, 0))=$H12, 1, 0))))), "")</f>
        <v/>
      </c>
      <c r="K12" s="35" t="str" cm="1">
        <f t="array" ref="K12">IFERROR(IF(OR($H12="", K11=""), "", IF($H12=2, SUM(IF(INDEX(_xlfn._xlws.FILTER(#REF!,#REF!= K$5), 0, MATCH($Q$2,#REF!, 0))&gt;1.9, 1, 0)), IF(SUM(IF(INDEX(_xlfn._xlws.FILTER(#REF!,#REF!= K$5), 0, MATCH($Q$2,#REF!, 0))=$H12, 1, 0))=0, "", SUM(IF(INDEX(_xlfn._xlws.FILTER(#REF!,#REF!= K$5), 0, MATCH($Q$2,#REF!, 0))=$H12, 1, 0))))), "")</f>
        <v/>
      </c>
      <c r="L12" s="35" t="str" cm="1">
        <f t="array" ref="L12">IFERROR(IF(OR($H12="", L11=""), "", IF($H12=2, SUM(IF(INDEX(_xlfn._xlws.FILTER(#REF!,#REF!= L$5), 0, MATCH($Q$2,#REF!, 0))&gt;1.9, 1, 0)), IF(SUM(IF(INDEX(_xlfn._xlws.FILTER(#REF!,#REF!= L$5), 0, MATCH($Q$2,#REF!, 0))=$H12, 1, 0))=0, "", SUM(IF(INDEX(_xlfn._xlws.FILTER(#REF!,#REF!= L$5), 0, MATCH($Q$2,#REF!, 0))=$H12, 1, 0))))), "")</f>
        <v/>
      </c>
      <c r="M12" s="35" t="str" cm="1">
        <f t="array" ref="M12">IFERROR(IF(OR($H12="", M11=""), "", IF($H12=2, SUM(IF(INDEX(_xlfn._xlws.FILTER(#REF!,#REF!= M$5), 0, MATCH($Q$2,#REF!, 0))&gt;1.9, 1, 0)), IF(SUM(IF(INDEX(_xlfn._xlws.FILTER(#REF!,#REF!= M$5), 0, MATCH($Q$2,#REF!, 0))=$H12, 1, 0))=0, "", SUM(IF(INDEX(_xlfn._xlws.FILTER(#REF!,#REF!= M$5), 0, MATCH($Q$2,#REF!, 0))=$H12, 1, 0))))), "")</f>
        <v/>
      </c>
      <c r="Z12" s="60"/>
    </row>
    <row r="13" spans="1:26" x14ac:dyDescent="0.55000000000000004">
      <c r="A13" s="37"/>
      <c r="B13" s="35" t="str" cm="1">
        <f t="array" ref="B13">IF($A13="", "", IF(SUM(IF(INDEX(_xlfn._xlws.FILTER(#REF!, tblPiNAnalysis[Population Group]=B$5), 0, MATCH(_xlfn.CONCAT($Q$2, "%"), #REF!, 0))=$A13, 1, 0))=0, "",SUM(IF(INDEX(_xlfn._xlws.FILTER(#REF!, tblPiNAnalysis[Population Group]=B$5), 0, MATCH(_xlfn.CONCAT($Q$2, "%"), #REF!, 0))=$A13, 1, 0))))</f>
        <v/>
      </c>
      <c r="C13" s="35" t="str" cm="1">
        <f t="array" ref="C13">IFERROR(IF(OR($A13="", C$5=""), "", IF(SUM(IF(INDEX(_xlfn._xlws.FILTER(#REF!, tblPiNAnalysis[Population Group]=C$5), 0, MATCH(_xlfn.CONCAT($Q$2, "%"), #REF!, 0))=$A13, 1, 0))=0, "",SUM(IF(INDEX(_xlfn._xlws.FILTER(#REF!, tblPiNAnalysis[Population Group]=C$5), 0, MATCH(_xlfn.CONCAT($Q$2, "%"), #REF!, 0))=$A13, 1, 0)))), "")</f>
        <v/>
      </c>
      <c r="D13" s="35" t="str" cm="1">
        <f t="array" ref="D13">IFERROR(IF(OR($A13="", D$5=""), "", IF(SUM(IF(INDEX(_xlfn._xlws.FILTER(#REF!, tblPiNAnalysis[Population Group]=D$5), 0, MATCH(_xlfn.CONCAT($Q$2, "%"), #REF!, 0))=$A13, 1, 0))=0, "",SUM(IF(INDEX(_xlfn._xlws.FILTER(#REF!, tblPiNAnalysis[Population Group]=D$5), 0, MATCH(_xlfn.CONCAT($Q$2, "%"), #REF!, 0))=$A13, 1, 0)))), "")</f>
        <v/>
      </c>
      <c r="E13" s="35" t="str" cm="1">
        <f t="array" ref="E13">IFERROR(IF(OR($A13="", E$5=""), "", IF(SUM(IF(INDEX(_xlfn._xlws.FILTER(#REF!, tblPiNAnalysis[Population Group]=E$5), 0, MATCH(_xlfn.CONCAT($Q$2, "%"), #REF!, 0))=$A13, 1, 0))=0, "",SUM(IF(INDEX(_xlfn._xlws.FILTER(#REF!, tblPiNAnalysis[Population Group]=E$5), 0, MATCH(_xlfn.CONCAT($Q$2, "%"), #REF!, 0))=$A13, 1, 0)))), "")</f>
        <v/>
      </c>
      <c r="F13" s="35" t="str" cm="1">
        <f t="array" ref="F13">IFERROR(IF(OR($A13="", F$5=""), "", IF(SUM(IF(INDEX(_xlfn._xlws.FILTER(#REF!, tblPiNAnalysis[CCCM]=F$5), 0, MATCH(_xlfn.CONCAT($Q$2, "%"), #REF!, 0))=$A13, 1, 0))=0, "",SUM(IF(INDEX(_xlfn._xlws.FILTER(#REF!, tblPiNAnalysis[CCCM]=F$5), 0, MATCH(_xlfn.CONCAT($Q$2, "%"), #REF!, 0))=$A13, 1, 0)))), "")</f>
        <v/>
      </c>
      <c r="H13" s="37"/>
      <c r="I13" s="35" t="str" cm="1">
        <f t="array" ref="I13">IF($H13="", "", IF($H13=2, SUM(IF(INDEX(_xlfn._xlws.FILTER(#REF!,#REF!= I$5), 0, MATCH($Q$2,#REF!, 0))&gt;1.9, 1, 0)), IF(SUM(IF(INDEX(_xlfn._xlws.FILTER(#REF!,#REF!= I$5), 0, MATCH($Q$2,#REF!, 0))=$H13, 1, 0))=0, "", SUM(IF(INDEX(_xlfn._xlws.FILTER(#REF!,#REF!= I$5), 0, MATCH($Q$2,#REF!, 0))=$H13, 1, 0)))))</f>
        <v/>
      </c>
      <c r="J13" s="35" t="str" cm="1">
        <f t="array" ref="J13">IFERROR(IF(OR($H13="", J12=""), "", IF($H13=2, SUM(IF(INDEX(_xlfn._xlws.FILTER(#REF!,#REF!= J$5), 0, MATCH($Q$2,#REF!, 0))&gt;1.9, 1, 0)), IF(SUM(IF(INDEX(_xlfn._xlws.FILTER(#REF!,#REF!= J$5), 0, MATCH($Q$2,#REF!, 0))=$H13, 1, 0))=0, "", SUM(IF(INDEX(_xlfn._xlws.FILTER(#REF!,#REF!= J$5), 0, MATCH($Q$2,#REF!, 0))=$H13, 1, 0))))), "")</f>
        <v/>
      </c>
      <c r="K13" s="35" t="str" cm="1">
        <f t="array" ref="K13">IFERROR(IF(OR($H13="", K12=""), "", IF($H13=2, SUM(IF(INDEX(_xlfn._xlws.FILTER(#REF!,#REF!= K$5), 0, MATCH($Q$2,#REF!, 0))&gt;1.9, 1, 0)), IF(SUM(IF(INDEX(_xlfn._xlws.FILTER(#REF!,#REF!= K$5), 0, MATCH($Q$2,#REF!, 0))=$H13, 1, 0))=0, "", SUM(IF(INDEX(_xlfn._xlws.FILTER(#REF!,#REF!= K$5), 0, MATCH($Q$2,#REF!, 0))=$H13, 1, 0))))), "")</f>
        <v/>
      </c>
      <c r="L13" s="35" t="str" cm="1">
        <f t="array" ref="L13">IFERROR(IF(OR($H13="", L12=""), "", IF($H13=2, SUM(IF(INDEX(_xlfn._xlws.FILTER(#REF!,#REF!= L$5), 0, MATCH($Q$2,#REF!, 0))&gt;1.9, 1, 0)), IF(SUM(IF(INDEX(_xlfn._xlws.FILTER(#REF!,#REF!= L$5), 0, MATCH($Q$2,#REF!, 0))=$H13, 1, 0))=0, "", SUM(IF(INDEX(_xlfn._xlws.FILTER(#REF!,#REF!= L$5), 0, MATCH($Q$2,#REF!, 0))=$H13, 1, 0))))), "")</f>
        <v/>
      </c>
      <c r="M13" s="35" t="str" cm="1">
        <f t="array" ref="M13">IFERROR(IF(OR($H13="", M12=""), "", IF($H13=2, SUM(IF(INDEX(_xlfn._xlws.FILTER(#REF!,#REF!= M$5), 0, MATCH($Q$2,#REF!, 0))&gt;1.9, 1, 0)), IF(SUM(IF(INDEX(_xlfn._xlws.FILTER(#REF!,#REF!= M$5), 0, MATCH($Q$2,#REF!, 0))=$H13, 1, 0))=0, "", SUM(IF(INDEX(_xlfn._xlws.FILTER(#REF!,#REF!= M$5), 0, MATCH($Q$2,#REF!, 0))=$H13, 1, 0))))), "")</f>
        <v/>
      </c>
      <c r="Z13" s="60"/>
    </row>
    <row r="14" spans="1:26" x14ac:dyDescent="0.55000000000000004">
      <c r="A14" s="37"/>
      <c r="B14" s="35" t="str" cm="1">
        <f t="array" ref="B14">IF($A14="", "", IF(SUM(IF(INDEX(_xlfn._xlws.FILTER(#REF!, tblPiNAnalysis[Population Group]=B$5), 0, MATCH(_xlfn.CONCAT($Q$2, "%"), #REF!, 0))=$A14, 1, 0))=0, "",SUM(IF(INDEX(_xlfn._xlws.FILTER(#REF!, tblPiNAnalysis[Population Group]=B$5), 0, MATCH(_xlfn.CONCAT($Q$2, "%"), #REF!, 0))=$A14, 1, 0))))</f>
        <v/>
      </c>
      <c r="C14" s="35" t="str" cm="1">
        <f t="array" ref="C14">IFERROR(IF(OR($A14="", C$5=""), "", IF(SUM(IF(INDEX(_xlfn._xlws.FILTER(#REF!, tblPiNAnalysis[Population Group]=C$5), 0, MATCH(_xlfn.CONCAT($Q$2, "%"), #REF!, 0))=$A14, 1, 0))=0, "",SUM(IF(INDEX(_xlfn._xlws.FILTER(#REF!, tblPiNAnalysis[Population Group]=C$5), 0, MATCH(_xlfn.CONCAT($Q$2, "%"), #REF!, 0))=$A14, 1, 0)))), "")</f>
        <v/>
      </c>
      <c r="D14" s="35" t="str" cm="1">
        <f t="array" ref="D14">IFERROR(IF(OR($A14="", D$5=""), "", IF(SUM(IF(INDEX(_xlfn._xlws.FILTER(#REF!, tblPiNAnalysis[Population Group]=D$5), 0, MATCH(_xlfn.CONCAT($Q$2, "%"), #REF!, 0))=$A14, 1, 0))=0, "",SUM(IF(INDEX(_xlfn._xlws.FILTER(#REF!, tblPiNAnalysis[Population Group]=D$5), 0, MATCH(_xlfn.CONCAT($Q$2, "%"), #REF!, 0))=$A14, 1, 0)))), "")</f>
        <v/>
      </c>
      <c r="E14" s="35" t="str" cm="1">
        <f t="array" ref="E14">IFERROR(IF(OR($A14="", E$5=""), "", IF(SUM(IF(INDEX(_xlfn._xlws.FILTER(#REF!, tblPiNAnalysis[Population Group]=E$5), 0, MATCH(_xlfn.CONCAT($Q$2, "%"), #REF!, 0))=$A14, 1, 0))=0, "",SUM(IF(INDEX(_xlfn._xlws.FILTER(#REF!, tblPiNAnalysis[Population Group]=E$5), 0, MATCH(_xlfn.CONCAT($Q$2, "%"), #REF!, 0))=$A14, 1, 0)))), "")</f>
        <v/>
      </c>
      <c r="F14" s="35" t="str" cm="1">
        <f t="array" ref="F14">IFERROR(IF(OR($A14="", F$5=""), "", IF(SUM(IF(INDEX(_xlfn._xlws.FILTER(#REF!, tblPiNAnalysis[CCCM]=F$5), 0, MATCH(_xlfn.CONCAT($Q$2, "%"), #REF!, 0))=$A14, 1, 0))=0, "",SUM(IF(INDEX(_xlfn._xlws.FILTER(#REF!, tblPiNAnalysis[CCCM]=F$5), 0, MATCH(_xlfn.CONCAT($Q$2, "%"), #REF!, 0))=$A14, 1, 0)))), "")</f>
        <v/>
      </c>
      <c r="H14" s="37"/>
      <c r="I14" s="35" t="str" cm="1">
        <f t="array" ref="I14">IF($H14="", "", IF($H14=2, SUM(IF(INDEX(_xlfn._xlws.FILTER(#REF!,#REF!= I$5), 0, MATCH($Q$2,#REF!, 0))&gt;1.9, 1, 0)), IF(SUM(IF(INDEX(_xlfn._xlws.FILTER(#REF!,#REF!= I$5), 0, MATCH($Q$2,#REF!, 0))=$H14, 1, 0))=0, "", SUM(IF(INDEX(_xlfn._xlws.FILTER(#REF!,#REF!= I$5), 0, MATCH($Q$2,#REF!, 0))=$H14, 1, 0)))))</f>
        <v/>
      </c>
      <c r="J14" s="35" t="str" cm="1">
        <f t="array" ref="J14">IFERROR(IF(OR($H14="", J13=""), "", IF($H14=2, SUM(IF(INDEX(_xlfn._xlws.FILTER(#REF!,#REF!= J$5), 0, MATCH($Q$2,#REF!, 0))&gt;1.9, 1, 0)), IF(SUM(IF(INDEX(_xlfn._xlws.FILTER(#REF!,#REF!= J$5), 0, MATCH($Q$2,#REF!, 0))=$H14, 1, 0))=0, "", SUM(IF(INDEX(_xlfn._xlws.FILTER(#REF!,#REF!= J$5), 0, MATCH($Q$2,#REF!, 0))=$H14, 1, 0))))), "")</f>
        <v/>
      </c>
      <c r="K14" s="35" t="str" cm="1">
        <f t="array" ref="K14">IFERROR(IF(OR($H14="", K13=""), "", IF($H14=2, SUM(IF(INDEX(_xlfn._xlws.FILTER(#REF!,#REF!= K$5), 0, MATCH($Q$2,#REF!, 0))&gt;1.9, 1, 0)), IF(SUM(IF(INDEX(_xlfn._xlws.FILTER(#REF!,#REF!= K$5), 0, MATCH($Q$2,#REF!, 0))=$H14, 1, 0))=0, "", SUM(IF(INDEX(_xlfn._xlws.FILTER(#REF!,#REF!= K$5), 0, MATCH($Q$2,#REF!, 0))=$H14, 1, 0))))), "")</f>
        <v/>
      </c>
      <c r="L14" s="35" t="str" cm="1">
        <f t="array" ref="L14">IFERROR(IF(OR($H14="", L13=""), "", IF($H14=2, SUM(IF(INDEX(_xlfn._xlws.FILTER(#REF!,#REF!= L$5), 0, MATCH($Q$2,#REF!, 0))&gt;1.9, 1, 0)), IF(SUM(IF(INDEX(_xlfn._xlws.FILTER(#REF!,#REF!= L$5), 0, MATCH($Q$2,#REF!, 0))=$H14, 1, 0))=0, "", SUM(IF(INDEX(_xlfn._xlws.FILTER(#REF!,#REF!= L$5), 0, MATCH($Q$2,#REF!, 0))=$H14, 1, 0))))), "")</f>
        <v/>
      </c>
      <c r="M14" s="35" t="str" cm="1">
        <f t="array" ref="M14">IFERROR(IF(OR($H14="", M13=""), "", IF($H14=2, SUM(IF(INDEX(_xlfn._xlws.FILTER(#REF!,#REF!= M$5), 0, MATCH($Q$2,#REF!, 0))&gt;1.9, 1, 0)), IF(SUM(IF(INDEX(_xlfn._xlws.FILTER(#REF!,#REF!= M$5), 0, MATCH($Q$2,#REF!, 0))=$H14, 1, 0))=0, "", SUM(IF(INDEX(_xlfn._xlws.FILTER(#REF!,#REF!= M$5), 0, MATCH($Q$2,#REF!, 0))=$H14, 1, 0))))), "")</f>
        <v/>
      </c>
      <c r="Z14" s="60"/>
    </row>
    <row r="15" spans="1:26" x14ac:dyDescent="0.55000000000000004">
      <c r="A15" s="37"/>
      <c r="B15" s="35" t="str" cm="1">
        <f t="array" ref="B15">IF($A15="", "", IF(SUM(IF(INDEX(_xlfn._xlws.FILTER(#REF!, tblPiNAnalysis[Population Group]=B$5), 0, MATCH(_xlfn.CONCAT($Q$2, "%"), #REF!, 0))=$A15, 1, 0))=0, "",SUM(IF(INDEX(_xlfn._xlws.FILTER(#REF!, tblPiNAnalysis[Population Group]=B$5), 0, MATCH(_xlfn.CONCAT($Q$2, "%"), #REF!, 0))=$A15, 1, 0))))</f>
        <v/>
      </c>
      <c r="C15" s="35" t="str" cm="1">
        <f t="array" ref="C15">IFERROR(IF(OR($A15="", C$5=""), "", IF(SUM(IF(INDEX(_xlfn._xlws.FILTER(#REF!, tblPiNAnalysis[Population Group]=C$5), 0, MATCH(_xlfn.CONCAT($Q$2, "%"), #REF!, 0))=$A15, 1, 0))=0, "",SUM(IF(INDEX(_xlfn._xlws.FILTER(#REF!, tblPiNAnalysis[Population Group]=C$5), 0, MATCH(_xlfn.CONCAT($Q$2, "%"), #REF!, 0))=$A15, 1, 0)))), "")</f>
        <v/>
      </c>
      <c r="D15" s="35" t="str" cm="1">
        <f t="array" ref="D15">IFERROR(IF(OR($A15="", D$5=""), "", IF(SUM(IF(INDEX(_xlfn._xlws.FILTER(#REF!, tblPiNAnalysis[Population Group]=D$5), 0, MATCH(_xlfn.CONCAT($Q$2, "%"), #REF!, 0))=$A15, 1, 0))=0, "",SUM(IF(INDEX(_xlfn._xlws.FILTER(#REF!, tblPiNAnalysis[Population Group]=D$5), 0, MATCH(_xlfn.CONCAT($Q$2, "%"), #REF!, 0))=$A15, 1, 0)))), "")</f>
        <v/>
      </c>
      <c r="E15" s="35" t="str" cm="1">
        <f t="array" ref="E15">IFERROR(IF(OR($A15="", E$5=""), "", IF(SUM(IF(INDEX(_xlfn._xlws.FILTER(#REF!, tblPiNAnalysis[Population Group]=E$5), 0, MATCH(_xlfn.CONCAT($Q$2, "%"), #REF!, 0))=$A15, 1, 0))=0, "",SUM(IF(INDEX(_xlfn._xlws.FILTER(#REF!, tblPiNAnalysis[Population Group]=E$5), 0, MATCH(_xlfn.CONCAT($Q$2, "%"), #REF!, 0))=$A15, 1, 0)))), "")</f>
        <v/>
      </c>
      <c r="F15" s="35" t="str" cm="1">
        <f t="array" ref="F15">IFERROR(IF(OR($A15="", F$5=""), "", IF(SUM(IF(INDEX(_xlfn._xlws.FILTER(#REF!, tblPiNAnalysis[CCCM]=F$5), 0, MATCH(_xlfn.CONCAT($Q$2, "%"), #REF!, 0))=$A15, 1, 0))=0, "",SUM(IF(INDEX(_xlfn._xlws.FILTER(#REF!, tblPiNAnalysis[CCCM]=F$5), 0, MATCH(_xlfn.CONCAT($Q$2, "%"), #REF!, 0))=$A15, 1, 0)))), "")</f>
        <v/>
      </c>
      <c r="H15" s="37"/>
      <c r="I15" s="35" t="str" cm="1">
        <f t="array" ref="I15">IF($H15="", "", IF($H15=2, SUM(IF(INDEX(_xlfn._xlws.FILTER(#REF!,#REF!= I$5), 0, MATCH($Q$2,#REF!, 0))&gt;1.9, 1, 0)), IF(SUM(IF(INDEX(_xlfn._xlws.FILTER(#REF!,#REF!= I$5), 0, MATCH($Q$2,#REF!, 0))=$H15, 1, 0))=0, "", SUM(IF(INDEX(_xlfn._xlws.FILTER(#REF!,#REF!= I$5), 0, MATCH($Q$2,#REF!, 0))=$H15, 1, 0)))))</f>
        <v/>
      </c>
      <c r="J15" s="35" t="str" cm="1">
        <f t="array" ref="J15">IFERROR(IF(OR($H15="", J14=""), "", IF($H15=2, SUM(IF(INDEX(_xlfn._xlws.FILTER(#REF!,#REF!= J$5), 0, MATCH($Q$2,#REF!, 0))&gt;1.9, 1, 0)), IF(SUM(IF(INDEX(_xlfn._xlws.FILTER(#REF!,#REF!= J$5), 0, MATCH($Q$2,#REF!, 0))=$H15, 1, 0))=0, "", SUM(IF(INDEX(_xlfn._xlws.FILTER(#REF!,#REF!= J$5), 0, MATCH($Q$2,#REF!, 0))=$H15, 1, 0))))), "")</f>
        <v/>
      </c>
      <c r="K15" s="35" t="str" cm="1">
        <f t="array" ref="K15">IFERROR(IF(OR($H15="", K14=""), "", IF($H15=2, SUM(IF(INDEX(_xlfn._xlws.FILTER(#REF!,#REF!= K$5), 0, MATCH($Q$2,#REF!, 0))&gt;1.9, 1, 0)), IF(SUM(IF(INDEX(_xlfn._xlws.FILTER(#REF!,#REF!= K$5), 0, MATCH($Q$2,#REF!, 0))=$H15, 1, 0))=0, "", SUM(IF(INDEX(_xlfn._xlws.FILTER(#REF!,#REF!= K$5), 0, MATCH($Q$2,#REF!, 0))=$H15, 1, 0))))), "")</f>
        <v/>
      </c>
      <c r="L15" s="35" t="str" cm="1">
        <f t="array" ref="L15">IFERROR(IF(OR($H15="", L14=""), "", IF($H15=2, SUM(IF(INDEX(_xlfn._xlws.FILTER(#REF!,#REF!= L$5), 0, MATCH($Q$2,#REF!, 0))&gt;1.9, 1, 0)), IF(SUM(IF(INDEX(_xlfn._xlws.FILTER(#REF!,#REF!= L$5), 0, MATCH($Q$2,#REF!, 0))=$H15, 1, 0))=0, "", SUM(IF(INDEX(_xlfn._xlws.FILTER(#REF!,#REF!= L$5), 0, MATCH($Q$2,#REF!, 0))=$H15, 1, 0))))), "")</f>
        <v/>
      </c>
      <c r="M15" s="35" t="str" cm="1">
        <f t="array" ref="M15">IFERROR(IF(OR($H15="", M14=""), "", IF($H15=2, SUM(IF(INDEX(_xlfn._xlws.FILTER(#REF!,#REF!= M$5), 0, MATCH($Q$2,#REF!, 0))&gt;1.9, 1, 0)), IF(SUM(IF(INDEX(_xlfn._xlws.FILTER(#REF!,#REF!= M$5), 0, MATCH($Q$2,#REF!, 0))=$H15, 1, 0))=0, "", SUM(IF(INDEX(_xlfn._xlws.FILTER(#REF!,#REF!= M$5), 0, MATCH($Q$2,#REF!, 0))=$H15, 1, 0))))), "")</f>
        <v/>
      </c>
      <c r="Z15" s="60"/>
    </row>
    <row r="16" spans="1:26" x14ac:dyDescent="0.55000000000000004">
      <c r="A16" s="37"/>
      <c r="B16" s="35" t="str" cm="1">
        <f t="array" ref="B16">IF($A16="", "", IF(SUM(IF(INDEX(_xlfn._xlws.FILTER(#REF!, tblPiNAnalysis[Population Group]=B$5), 0, MATCH(_xlfn.CONCAT($Q$2, "%"), #REF!, 0))=$A16, 1, 0))=0, "",SUM(IF(INDEX(_xlfn._xlws.FILTER(#REF!, tblPiNAnalysis[Population Group]=B$5), 0, MATCH(_xlfn.CONCAT($Q$2, "%"), #REF!, 0))=$A16, 1, 0))))</f>
        <v/>
      </c>
      <c r="C16" s="35" t="str" cm="1">
        <f t="array" ref="C16">IFERROR(IF(OR($A16="", C$5=""), "", IF(SUM(IF(INDEX(_xlfn._xlws.FILTER(#REF!, tblPiNAnalysis[Population Group]=C$5), 0, MATCH(_xlfn.CONCAT($Q$2, "%"), #REF!, 0))=$A16, 1, 0))=0, "",SUM(IF(INDEX(_xlfn._xlws.FILTER(#REF!, tblPiNAnalysis[Population Group]=C$5), 0, MATCH(_xlfn.CONCAT($Q$2, "%"), #REF!, 0))=$A16, 1, 0)))), "")</f>
        <v/>
      </c>
      <c r="D16" s="35" t="str" cm="1">
        <f t="array" ref="D16">IFERROR(IF(OR($A16="", D$5=""), "", IF(SUM(IF(INDEX(_xlfn._xlws.FILTER(#REF!, tblPiNAnalysis[Population Group]=D$5), 0, MATCH(_xlfn.CONCAT($Q$2, "%"), #REF!, 0))=$A16, 1, 0))=0, "",SUM(IF(INDEX(_xlfn._xlws.FILTER(#REF!, tblPiNAnalysis[Population Group]=D$5), 0, MATCH(_xlfn.CONCAT($Q$2, "%"), #REF!, 0))=$A16, 1, 0)))), "")</f>
        <v/>
      </c>
      <c r="E16" s="35" t="str" cm="1">
        <f t="array" ref="E16">IFERROR(IF(OR($A16="", E$5=""), "", IF(SUM(IF(INDEX(_xlfn._xlws.FILTER(#REF!, tblPiNAnalysis[Population Group]=E$5), 0, MATCH(_xlfn.CONCAT($Q$2, "%"), #REF!, 0))=$A16, 1, 0))=0, "",SUM(IF(INDEX(_xlfn._xlws.FILTER(#REF!, tblPiNAnalysis[Population Group]=E$5), 0, MATCH(_xlfn.CONCAT($Q$2, "%"), #REF!, 0))=$A16, 1, 0)))), "")</f>
        <v/>
      </c>
      <c r="F16" s="35" t="str" cm="1">
        <f t="array" ref="F16">IFERROR(IF(OR($A16="", F$5=""), "", IF(SUM(IF(INDEX(_xlfn._xlws.FILTER(#REF!, tblPiNAnalysis[CCCM]=F$5), 0, MATCH(_xlfn.CONCAT($Q$2, "%"), #REF!, 0))=$A16, 1, 0))=0, "",SUM(IF(INDEX(_xlfn._xlws.FILTER(#REF!, tblPiNAnalysis[CCCM]=F$5), 0, MATCH(_xlfn.CONCAT($Q$2, "%"), #REF!, 0))=$A16, 1, 0)))), "")</f>
        <v/>
      </c>
      <c r="H16" s="37"/>
      <c r="I16" s="35" t="str" cm="1">
        <f t="array" ref="I16">IF($H16="", "", IF($H16=2, SUM(IF(INDEX(_xlfn._xlws.FILTER(#REF!,#REF!= I$5), 0, MATCH($Q$2,#REF!, 0))&gt;1.9, 1, 0)), IF(SUM(IF(INDEX(_xlfn._xlws.FILTER(#REF!,#REF!= I$5), 0, MATCH($Q$2,#REF!, 0))=$H16, 1, 0))=0, "", SUM(IF(INDEX(_xlfn._xlws.FILTER(#REF!,#REF!= I$5), 0, MATCH($Q$2,#REF!, 0))=$H16, 1, 0)))))</f>
        <v/>
      </c>
      <c r="J16" s="35" t="str" cm="1">
        <f t="array" ref="J16">IFERROR(IF(OR($H16="", J15=""), "", IF($H16=2, SUM(IF(INDEX(_xlfn._xlws.FILTER(#REF!,#REF!= J$5), 0, MATCH($Q$2,#REF!, 0))&gt;1.9, 1, 0)), IF(SUM(IF(INDEX(_xlfn._xlws.FILTER(#REF!,#REF!= J$5), 0, MATCH($Q$2,#REF!, 0))=$H16, 1, 0))=0, "", SUM(IF(INDEX(_xlfn._xlws.FILTER(#REF!,#REF!= J$5), 0, MATCH($Q$2,#REF!, 0))=$H16, 1, 0))))), "")</f>
        <v/>
      </c>
      <c r="K16" s="35" t="str" cm="1">
        <f t="array" ref="K16">IFERROR(IF(OR($H16="", K15=""), "", IF($H16=2, SUM(IF(INDEX(_xlfn._xlws.FILTER(#REF!,#REF!= K$5), 0, MATCH($Q$2,#REF!, 0))&gt;1.9, 1, 0)), IF(SUM(IF(INDEX(_xlfn._xlws.FILTER(#REF!,#REF!= K$5), 0, MATCH($Q$2,#REF!, 0))=$H16, 1, 0))=0, "", SUM(IF(INDEX(_xlfn._xlws.FILTER(#REF!,#REF!= K$5), 0, MATCH($Q$2,#REF!, 0))=$H16, 1, 0))))), "")</f>
        <v/>
      </c>
      <c r="L16" s="35" t="str" cm="1">
        <f t="array" ref="L16">IFERROR(IF(OR($H16="", L15=""), "", IF($H16=2, SUM(IF(INDEX(_xlfn._xlws.FILTER(#REF!,#REF!= L$5), 0, MATCH($Q$2,#REF!, 0))&gt;1.9, 1, 0)), IF(SUM(IF(INDEX(_xlfn._xlws.FILTER(#REF!,#REF!= L$5), 0, MATCH($Q$2,#REF!, 0))=$H16, 1, 0))=0, "", SUM(IF(INDEX(_xlfn._xlws.FILTER(#REF!,#REF!= L$5), 0, MATCH($Q$2,#REF!, 0))=$H16, 1, 0))))), "")</f>
        <v/>
      </c>
      <c r="M16" s="35" t="str" cm="1">
        <f t="array" ref="M16">IFERROR(IF(OR($H16="", M15=""), "", IF($H16=2, SUM(IF(INDEX(_xlfn._xlws.FILTER(#REF!,#REF!= M$5), 0, MATCH($Q$2,#REF!, 0))&gt;1.9, 1, 0)), IF(SUM(IF(INDEX(_xlfn._xlws.FILTER(#REF!,#REF!= M$5), 0, MATCH($Q$2,#REF!, 0))=$H16, 1, 0))=0, "", SUM(IF(INDEX(_xlfn._xlws.FILTER(#REF!,#REF!= M$5), 0, MATCH($Q$2,#REF!, 0))=$H16, 1, 0))))), "")</f>
        <v/>
      </c>
      <c r="Z16" s="60"/>
    </row>
    <row r="17" spans="1:28" x14ac:dyDescent="0.55000000000000004">
      <c r="A17" s="37"/>
      <c r="B17" s="35" t="str" cm="1">
        <f t="array" ref="B17">IF($A17="", "", IF(SUM(IF(INDEX(_xlfn._xlws.FILTER(#REF!, tblPiNAnalysis[Population Group]=B$5), 0, MATCH(_xlfn.CONCAT($Q$2, "%"), #REF!, 0))=$A17, 1, 0))=0, "",SUM(IF(INDEX(_xlfn._xlws.FILTER(#REF!, tblPiNAnalysis[Population Group]=B$5), 0, MATCH(_xlfn.CONCAT($Q$2, "%"), #REF!, 0))=$A17, 1, 0))))</f>
        <v/>
      </c>
      <c r="C17" s="35" t="str" cm="1">
        <f t="array" ref="C17">IFERROR(IF(OR($A17="", C$5=""), "", IF(SUM(IF(INDEX(_xlfn._xlws.FILTER(#REF!, tblPiNAnalysis[Population Group]=C$5), 0, MATCH(_xlfn.CONCAT($Q$2, "%"), #REF!, 0))=$A17, 1, 0))=0, "",SUM(IF(INDEX(_xlfn._xlws.FILTER(#REF!, tblPiNAnalysis[Population Group]=C$5), 0, MATCH(_xlfn.CONCAT($Q$2, "%"), #REF!, 0))=$A17, 1, 0)))), "")</f>
        <v/>
      </c>
      <c r="D17" s="35" t="str" cm="1">
        <f t="array" ref="D17">IFERROR(IF(OR($A17="", D$5=""), "", IF(SUM(IF(INDEX(_xlfn._xlws.FILTER(#REF!, tblPiNAnalysis[Population Group]=D$5), 0, MATCH(_xlfn.CONCAT($Q$2, "%"), #REF!, 0))=$A17, 1, 0))=0, "",SUM(IF(INDEX(_xlfn._xlws.FILTER(#REF!, tblPiNAnalysis[Population Group]=D$5), 0, MATCH(_xlfn.CONCAT($Q$2, "%"), #REF!, 0))=$A17, 1, 0)))), "")</f>
        <v/>
      </c>
      <c r="E17" s="35" t="str" cm="1">
        <f t="array" ref="E17">IFERROR(IF(OR($A17="", E$5=""), "", IF(SUM(IF(INDEX(_xlfn._xlws.FILTER(#REF!, tblPiNAnalysis[Population Group]=E$5), 0, MATCH(_xlfn.CONCAT($Q$2, "%"), #REF!, 0))=$A17, 1, 0))=0, "",SUM(IF(INDEX(_xlfn._xlws.FILTER(#REF!, tblPiNAnalysis[Population Group]=E$5), 0, MATCH(_xlfn.CONCAT($Q$2, "%"), #REF!, 0))=$A17, 1, 0)))), "")</f>
        <v/>
      </c>
      <c r="F17" s="35" t="str" cm="1">
        <f t="array" ref="F17">IFERROR(IF(OR($A17="", F$5=""), "", IF(SUM(IF(INDEX(_xlfn._xlws.FILTER(#REF!, tblPiNAnalysis[CCCM]=F$5), 0, MATCH(_xlfn.CONCAT($Q$2, "%"), #REF!, 0))=$A17, 1, 0))=0, "",SUM(IF(INDEX(_xlfn._xlws.FILTER(#REF!, tblPiNAnalysis[CCCM]=F$5), 0, MATCH(_xlfn.CONCAT($Q$2, "%"), #REF!, 0))=$A17, 1, 0)))), "")</f>
        <v/>
      </c>
      <c r="H17" s="37"/>
      <c r="I17" s="35" t="str" cm="1">
        <f t="array" ref="I17">IF($H17="", "", IF($H17=2, SUM(IF(INDEX(_xlfn._xlws.FILTER(#REF!,#REF!= I$5), 0, MATCH($Q$2,#REF!, 0))&gt;1.9, 1, 0)), IF(SUM(IF(INDEX(_xlfn._xlws.FILTER(#REF!,#REF!= I$5), 0, MATCH($Q$2,#REF!, 0))=$H17, 1, 0))=0, "", SUM(IF(INDEX(_xlfn._xlws.FILTER(#REF!,#REF!= I$5), 0, MATCH($Q$2,#REF!, 0))=$H17, 1, 0)))))</f>
        <v/>
      </c>
      <c r="J17" s="35" t="str" cm="1">
        <f t="array" ref="J17">IFERROR(IF(OR($H17="", J16=""), "", IF($H17=2, SUM(IF(INDEX(_xlfn._xlws.FILTER(#REF!,#REF!= J$5), 0, MATCH($Q$2,#REF!, 0))&gt;1.9, 1, 0)), IF(SUM(IF(INDEX(_xlfn._xlws.FILTER(#REF!,#REF!= J$5), 0, MATCH($Q$2,#REF!, 0))=$H17, 1, 0))=0, "", SUM(IF(INDEX(_xlfn._xlws.FILTER(#REF!,#REF!= J$5), 0, MATCH($Q$2,#REF!, 0))=$H17, 1, 0))))), "")</f>
        <v/>
      </c>
      <c r="K17" s="35" t="str" cm="1">
        <f t="array" ref="K17">IFERROR(IF(OR($H17="", K16=""), "", IF($H17=2, SUM(IF(INDEX(_xlfn._xlws.FILTER(#REF!,#REF!= K$5), 0, MATCH($Q$2,#REF!, 0))&gt;1.9, 1, 0)), IF(SUM(IF(INDEX(_xlfn._xlws.FILTER(#REF!,#REF!= K$5), 0, MATCH($Q$2,#REF!, 0))=$H17, 1, 0))=0, "", SUM(IF(INDEX(_xlfn._xlws.FILTER(#REF!,#REF!= K$5), 0, MATCH($Q$2,#REF!, 0))=$H17, 1, 0))))), "")</f>
        <v/>
      </c>
      <c r="L17" s="35" t="str" cm="1">
        <f t="array" ref="L17">IFERROR(IF(OR($H17="", L16=""), "", IF($H17=2, SUM(IF(INDEX(_xlfn._xlws.FILTER(#REF!,#REF!= L$5), 0, MATCH($Q$2,#REF!, 0))&gt;1.9, 1, 0)), IF(SUM(IF(INDEX(_xlfn._xlws.FILTER(#REF!,#REF!= L$5), 0, MATCH($Q$2,#REF!, 0))=$H17, 1, 0))=0, "", SUM(IF(INDEX(_xlfn._xlws.FILTER(#REF!,#REF!= L$5), 0, MATCH($Q$2,#REF!, 0))=$H17, 1, 0))))), "")</f>
        <v/>
      </c>
      <c r="M17" s="35" t="str" cm="1">
        <f t="array" ref="M17">IFERROR(IF(OR($H17="", M16=""), "", IF($H17=2, SUM(IF(INDEX(_xlfn._xlws.FILTER(#REF!,#REF!= M$5), 0, MATCH($Q$2,#REF!, 0))&gt;1.9, 1, 0)), IF(SUM(IF(INDEX(_xlfn._xlws.FILTER(#REF!,#REF!= M$5), 0, MATCH($Q$2,#REF!, 0))=$H17, 1, 0))=0, "", SUM(IF(INDEX(_xlfn._xlws.FILTER(#REF!,#REF!= M$5), 0, MATCH($Q$2,#REF!, 0))=$H17, 1, 0))))), "")</f>
        <v/>
      </c>
      <c r="Z17" s="60"/>
    </row>
    <row r="18" spans="1:28" x14ac:dyDescent="0.55000000000000004">
      <c r="A18" s="37"/>
      <c r="B18" s="35" t="str" cm="1">
        <f t="array" ref="B18">IF($A18="", "", IF(SUM(IF(INDEX(_xlfn._xlws.FILTER(#REF!, tblPiNAnalysis[Population Group]=B$5), 0, MATCH(_xlfn.CONCAT($Q$2, "%"), #REF!, 0))=$A18, 1, 0))=0, "",SUM(IF(INDEX(_xlfn._xlws.FILTER(#REF!, tblPiNAnalysis[Population Group]=B$5), 0, MATCH(_xlfn.CONCAT($Q$2, "%"), #REF!, 0))=$A18, 1, 0))))</f>
        <v/>
      </c>
      <c r="C18" s="35" t="str" cm="1">
        <f t="array" ref="C18">IFERROR(IF(OR($A18="", C$5=""), "", IF(SUM(IF(INDEX(_xlfn._xlws.FILTER(#REF!, tblPiNAnalysis[Population Group]=C$5), 0, MATCH(_xlfn.CONCAT($Q$2, "%"), #REF!, 0))=$A18, 1, 0))=0, "",SUM(IF(INDEX(_xlfn._xlws.FILTER(#REF!, tblPiNAnalysis[Population Group]=C$5), 0, MATCH(_xlfn.CONCAT($Q$2, "%"), #REF!, 0))=$A18, 1, 0)))), "")</f>
        <v/>
      </c>
      <c r="D18" s="35" t="str" cm="1">
        <f t="array" ref="D18">IFERROR(IF(OR($A18="", D$5=""), "", IF(SUM(IF(INDEX(_xlfn._xlws.FILTER(#REF!, tblPiNAnalysis[Population Group]=D$5), 0, MATCH(_xlfn.CONCAT($Q$2, "%"), #REF!, 0))=$A18, 1, 0))=0, "",SUM(IF(INDEX(_xlfn._xlws.FILTER(#REF!, tblPiNAnalysis[Population Group]=D$5), 0, MATCH(_xlfn.CONCAT($Q$2, "%"), #REF!, 0))=$A18, 1, 0)))), "")</f>
        <v/>
      </c>
      <c r="E18" s="35" t="str" cm="1">
        <f t="array" ref="E18">IFERROR(IF(OR($A18="", E$5=""), "", IF(SUM(IF(INDEX(_xlfn._xlws.FILTER(#REF!, tblPiNAnalysis[Population Group]=E$5), 0, MATCH(_xlfn.CONCAT($Q$2, "%"), #REF!, 0))=$A18, 1, 0))=0, "",SUM(IF(INDEX(_xlfn._xlws.FILTER(#REF!, tblPiNAnalysis[Population Group]=E$5), 0, MATCH(_xlfn.CONCAT($Q$2, "%"), #REF!, 0))=$A18, 1, 0)))), "")</f>
        <v/>
      </c>
      <c r="F18" s="35" t="str" cm="1">
        <f t="array" ref="F18">IFERROR(IF(OR($A18="", F$5=""), "", IF(SUM(IF(INDEX(_xlfn._xlws.FILTER(#REF!, tblPiNAnalysis[CCCM]=F$5), 0, MATCH(_xlfn.CONCAT($Q$2, "%"), #REF!, 0))=$A18, 1, 0))=0, "",SUM(IF(INDEX(_xlfn._xlws.FILTER(#REF!, tblPiNAnalysis[CCCM]=F$5), 0, MATCH(_xlfn.CONCAT($Q$2, "%"), #REF!, 0))=$A18, 1, 0)))), "")</f>
        <v/>
      </c>
      <c r="H18" s="37"/>
      <c r="I18" s="35" t="str" cm="1">
        <f t="array" ref="I18">IF($H18="", "", IF($H18=2, SUM(IF(INDEX(_xlfn._xlws.FILTER(#REF!,#REF!= I$5), 0, MATCH($Q$2,#REF!, 0))&gt;1.9, 1, 0)), IF(SUM(IF(INDEX(_xlfn._xlws.FILTER(#REF!,#REF!= I$5), 0, MATCH($Q$2,#REF!, 0))=$H18, 1, 0))=0, "", SUM(IF(INDEX(_xlfn._xlws.FILTER(#REF!,#REF!= I$5), 0, MATCH($Q$2,#REF!, 0))=$H18, 1, 0)))))</f>
        <v/>
      </c>
      <c r="J18" s="35" t="str" cm="1">
        <f t="array" ref="J18">IFERROR(IF(OR($H18="", J17=""), "", IF($H18=2, SUM(IF(INDEX(_xlfn._xlws.FILTER(#REF!,#REF!= J$5), 0, MATCH($Q$2,#REF!, 0))&gt;1.9, 1, 0)), IF(SUM(IF(INDEX(_xlfn._xlws.FILTER(#REF!,#REF!= J$5), 0, MATCH($Q$2,#REF!, 0))=$H18, 1, 0))=0, "", SUM(IF(INDEX(_xlfn._xlws.FILTER(#REF!,#REF!= J$5), 0, MATCH($Q$2,#REF!, 0))=$H18, 1, 0))))), "")</f>
        <v/>
      </c>
      <c r="K18" s="35" t="str" cm="1">
        <f t="array" ref="K18">IFERROR(IF(OR($H18="", K17=""), "", IF($H18=2, SUM(IF(INDEX(_xlfn._xlws.FILTER(#REF!,#REF!= K$5), 0, MATCH($Q$2,#REF!, 0))&gt;1.9, 1, 0)), IF(SUM(IF(INDEX(_xlfn._xlws.FILTER(#REF!,#REF!= K$5), 0, MATCH($Q$2,#REF!, 0))=$H18, 1, 0))=0, "", SUM(IF(INDEX(_xlfn._xlws.FILTER(#REF!,#REF!= K$5), 0, MATCH($Q$2,#REF!, 0))=$H18, 1, 0))))), "")</f>
        <v/>
      </c>
      <c r="L18" s="35" t="str" cm="1">
        <f t="array" ref="L18">IFERROR(IF(OR($H18="", L17=""), "", IF($H18=2, SUM(IF(INDEX(_xlfn._xlws.FILTER(#REF!,#REF!= L$5), 0, MATCH($Q$2,#REF!, 0))&gt;1.9, 1, 0)), IF(SUM(IF(INDEX(_xlfn._xlws.FILTER(#REF!,#REF!= L$5), 0, MATCH($Q$2,#REF!, 0))=$H18, 1, 0))=0, "", SUM(IF(INDEX(_xlfn._xlws.FILTER(#REF!,#REF!= L$5), 0, MATCH($Q$2,#REF!, 0))=$H18, 1, 0))))), "")</f>
        <v/>
      </c>
      <c r="M18" s="35" t="str" cm="1">
        <f t="array" ref="M18">IFERROR(IF(OR($H18="", M17=""), "", IF($H18=2, SUM(IF(INDEX(_xlfn._xlws.FILTER(#REF!,#REF!= M$5), 0, MATCH($Q$2,#REF!, 0))&gt;1.9, 1, 0)), IF(SUM(IF(INDEX(_xlfn._xlws.FILTER(#REF!,#REF!= M$5), 0, MATCH($Q$2,#REF!, 0))=$H18, 1, 0))=0, "", SUM(IF(INDEX(_xlfn._xlws.FILTER(#REF!,#REF!= M$5), 0, MATCH($Q$2,#REF!, 0))=$H18, 1, 0))))), "")</f>
        <v/>
      </c>
      <c r="Z18" s="60"/>
    </row>
    <row r="19" spans="1:28" x14ac:dyDescent="0.55000000000000004">
      <c r="A19" s="37"/>
      <c r="B19" s="35" t="str" cm="1">
        <f t="array" ref="B19">IF($A19="", "", IF(SUM(IF(INDEX(_xlfn._xlws.FILTER(#REF!, tblPiNAnalysis[Population Group]=B$5), 0, MATCH(_xlfn.CONCAT($Q$2, "%"), #REF!, 0))=$A19, 1, 0))=0, "",SUM(IF(INDEX(_xlfn._xlws.FILTER(#REF!, tblPiNAnalysis[Population Group]=B$5), 0, MATCH(_xlfn.CONCAT($Q$2, "%"), #REF!, 0))=$A19, 1, 0))))</f>
        <v/>
      </c>
      <c r="C19" s="35" t="str" cm="1">
        <f t="array" ref="C19">IFERROR(IF(OR($A19="", C$5=""), "", IF(SUM(IF(INDEX(_xlfn._xlws.FILTER(#REF!, tblPiNAnalysis[Population Group]=C$5), 0, MATCH(_xlfn.CONCAT($Q$2, "%"), #REF!, 0))=$A19, 1, 0))=0, "",SUM(IF(INDEX(_xlfn._xlws.FILTER(#REF!, tblPiNAnalysis[Population Group]=C$5), 0, MATCH(_xlfn.CONCAT($Q$2, "%"), #REF!, 0))=$A19, 1, 0)))), "")</f>
        <v/>
      </c>
      <c r="D19" s="35" t="str" cm="1">
        <f t="array" ref="D19">IFERROR(IF(OR($A19="", D$5=""), "", IF(SUM(IF(INDEX(_xlfn._xlws.FILTER(#REF!, tblPiNAnalysis[Population Group]=D$5), 0, MATCH(_xlfn.CONCAT($Q$2, "%"), #REF!, 0))=$A19, 1, 0))=0, "",SUM(IF(INDEX(_xlfn._xlws.FILTER(#REF!, tblPiNAnalysis[Population Group]=D$5), 0, MATCH(_xlfn.CONCAT($Q$2, "%"), #REF!, 0))=$A19, 1, 0)))), "")</f>
        <v/>
      </c>
      <c r="E19" s="35" t="str" cm="1">
        <f t="array" ref="E19">IFERROR(IF(OR($A19="", E$5=""), "", IF(SUM(IF(INDEX(_xlfn._xlws.FILTER(#REF!, tblPiNAnalysis[Population Group]=E$5), 0, MATCH(_xlfn.CONCAT($Q$2, "%"), #REF!, 0))=$A19, 1, 0))=0, "",SUM(IF(INDEX(_xlfn._xlws.FILTER(#REF!, tblPiNAnalysis[Population Group]=E$5), 0, MATCH(_xlfn.CONCAT($Q$2, "%"), #REF!, 0))=$A19, 1, 0)))), "")</f>
        <v/>
      </c>
      <c r="F19" s="35" t="str" cm="1">
        <f t="array" ref="F19">IFERROR(IF(OR($A19="", F$5=""), "", IF(SUM(IF(INDEX(_xlfn._xlws.FILTER(#REF!, tblPiNAnalysis[CCCM]=F$5), 0, MATCH(_xlfn.CONCAT($Q$2, "%"), #REF!, 0))=$A19, 1, 0))=0, "",SUM(IF(INDEX(_xlfn._xlws.FILTER(#REF!, tblPiNAnalysis[CCCM]=F$5), 0, MATCH(_xlfn.CONCAT($Q$2, "%"), #REF!, 0))=$A19, 1, 0)))), "")</f>
        <v/>
      </c>
      <c r="H19" s="37"/>
      <c r="I19" s="35" t="str" cm="1">
        <f t="array" ref="I19">IF($H19="", "", IF($H19=2, SUM(IF(INDEX(_xlfn._xlws.FILTER(#REF!,#REF!= I$5), 0, MATCH($Q$2,#REF!, 0))&gt;1.9, 1, 0)), IF(SUM(IF(INDEX(_xlfn._xlws.FILTER(#REF!,#REF!= I$5), 0, MATCH($Q$2,#REF!, 0))=$H19, 1, 0))=0, "", SUM(IF(INDEX(_xlfn._xlws.FILTER(#REF!,#REF!= I$5), 0, MATCH($Q$2,#REF!, 0))=$H19, 1, 0)))))</f>
        <v/>
      </c>
      <c r="J19" s="35" t="str" cm="1">
        <f t="array" ref="J19">IFERROR(IF(OR($H19="", J18=""), "", IF($H19=2, SUM(IF(INDEX(_xlfn._xlws.FILTER(#REF!,#REF!= J$5), 0, MATCH($Q$2,#REF!, 0))&gt;1.9, 1, 0)), IF(SUM(IF(INDEX(_xlfn._xlws.FILTER(#REF!,#REF!= J$5), 0, MATCH($Q$2,#REF!, 0))=$H19, 1, 0))=0, "", SUM(IF(INDEX(_xlfn._xlws.FILTER(#REF!,#REF!= J$5), 0, MATCH($Q$2,#REF!, 0))=$H19, 1, 0))))), "")</f>
        <v/>
      </c>
      <c r="K19" s="35" t="str" cm="1">
        <f t="array" ref="K19">IFERROR(IF(OR($H19="", K18=""), "", IF($H19=2, SUM(IF(INDEX(_xlfn._xlws.FILTER(#REF!,#REF!= K$5), 0, MATCH($Q$2,#REF!, 0))&gt;1.9, 1, 0)), IF(SUM(IF(INDEX(_xlfn._xlws.FILTER(#REF!,#REF!= K$5), 0, MATCH($Q$2,#REF!, 0))=$H19, 1, 0))=0, "", SUM(IF(INDEX(_xlfn._xlws.FILTER(#REF!,#REF!= K$5), 0, MATCH($Q$2,#REF!, 0))=$H19, 1, 0))))), "")</f>
        <v/>
      </c>
      <c r="L19" s="35" t="str" cm="1">
        <f t="array" ref="L19">IFERROR(IF(OR($H19="", L18=""), "", IF($H19=2, SUM(IF(INDEX(_xlfn._xlws.FILTER(#REF!,#REF!= L$5), 0, MATCH($Q$2,#REF!, 0))&gt;1.9, 1, 0)), IF(SUM(IF(INDEX(_xlfn._xlws.FILTER(#REF!,#REF!= L$5), 0, MATCH($Q$2,#REF!, 0))=$H19, 1, 0))=0, "", SUM(IF(INDEX(_xlfn._xlws.FILTER(#REF!,#REF!= L$5), 0, MATCH($Q$2,#REF!, 0))=$H19, 1, 0))))), "")</f>
        <v/>
      </c>
      <c r="M19" s="35" t="str" cm="1">
        <f t="array" ref="M19">IFERROR(IF(OR($H19="", M18=""), "", IF($H19=2, SUM(IF(INDEX(_xlfn._xlws.FILTER(#REF!,#REF!= M$5), 0, MATCH($Q$2,#REF!, 0))&gt;1.9, 1, 0)), IF(SUM(IF(INDEX(_xlfn._xlws.FILTER(#REF!,#REF!= M$5), 0, MATCH($Q$2,#REF!, 0))=$H19, 1, 0))=0, "", SUM(IF(INDEX(_xlfn._xlws.FILTER(#REF!,#REF!= M$5), 0, MATCH($Q$2,#REF!, 0))=$H19, 1, 0))))), "")</f>
        <v/>
      </c>
      <c r="Z19" s="60"/>
    </row>
    <row r="20" spans="1:28" x14ac:dyDescent="0.55000000000000004">
      <c r="A20" s="37"/>
      <c r="B20" s="35" t="str" cm="1">
        <f t="array" ref="B20">IF($A20="", "", IF(SUM(IF(INDEX(_xlfn._xlws.FILTER(#REF!, tblPiNAnalysis[Population Group]=B$5), 0, MATCH(_xlfn.CONCAT($Q$2, "%"), #REF!, 0))=$A20, 1, 0))=0, "",SUM(IF(INDEX(_xlfn._xlws.FILTER(#REF!, tblPiNAnalysis[Population Group]=B$5), 0, MATCH(_xlfn.CONCAT($Q$2, "%"), #REF!, 0))=$A20, 1, 0))))</f>
        <v/>
      </c>
      <c r="C20" s="35" t="str" cm="1">
        <f t="array" ref="C20">IFERROR(IF(OR($A20="", C$5=""), "", IF(SUM(IF(INDEX(_xlfn._xlws.FILTER(#REF!, tblPiNAnalysis[Population Group]=C$5), 0, MATCH(_xlfn.CONCAT($Q$2, "%"), #REF!, 0))=$A20, 1, 0))=0, "",SUM(IF(INDEX(_xlfn._xlws.FILTER(#REF!, tblPiNAnalysis[Population Group]=C$5), 0, MATCH(_xlfn.CONCAT($Q$2, "%"), #REF!, 0))=$A20, 1, 0)))), "")</f>
        <v/>
      </c>
      <c r="D20" s="35" t="str" cm="1">
        <f t="array" ref="D20">IFERROR(IF(OR($A20="", D$5=""), "", IF(SUM(IF(INDEX(_xlfn._xlws.FILTER(#REF!, tblPiNAnalysis[Population Group]=D$5), 0, MATCH(_xlfn.CONCAT($Q$2, "%"), #REF!, 0))=$A20, 1, 0))=0, "",SUM(IF(INDEX(_xlfn._xlws.FILTER(#REF!, tblPiNAnalysis[Population Group]=D$5), 0, MATCH(_xlfn.CONCAT($Q$2, "%"), #REF!, 0))=$A20, 1, 0)))), "")</f>
        <v/>
      </c>
      <c r="E20" s="35" t="str" cm="1">
        <f t="array" ref="E20">IFERROR(IF(OR($A20="", E$5=""), "", IF(SUM(IF(INDEX(_xlfn._xlws.FILTER(#REF!, tblPiNAnalysis[Population Group]=E$5), 0, MATCH(_xlfn.CONCAT($Q$2, "%"), #REF!, 0))=$A20, 1, 0))=0, "",SUM(IF(INDEX(_xlfn._xlws.FILTER(#REF!, tblPiNAnalysis[Population Group]=E$5), 0, MATCH(_xlfn.CONCAT($Q$2, "%"), #REF!, 0))=$A20, 1, 0)))), "")</f>
        <v/>
      </c>
      <c r="F20" s="35" t="str" cm="1">
        <f t="array" ref="F20">IFERROR(IF(OR($A20="", F$5=""), "", IF(SUM(IF(INDEX(_xlfn._xlws.FILTER(#REF!, tblPiNAnalysis[CCCM]=F$5), 0, MATCH(_xlfn.CONCAT($Q$2, "%"), #REF!, 0))=$A20, 1, 0))=0, "",SUM(IF(INDEX(_xlfn._xlws.FILTER(#REF!, tblPiNAnalysis[CCCM]=F$5), 0, MATCH(_xlfn.CONCAT($Q$2, "%"), #REF!, 0))=$A20, 1, 0)))), "")</f>
        <v/>
      </c>
      <c r="H20" s="37"/>
      <c r="I20" s="35" t="str" cm="1">
        <f t="array" ref="I20">IF($H20="", "", IF($H20=2, SUM(IF(INDEX(_xlfn._xlws.FILTER(#REF!,#REF!= I$5), 0, MATCH($Q$2,#REF!, 0))&gt;1.9, 1, 0)), IF(SUM(IF(INDEX(_xlfn._xlws.FILTER(#REF!,#REF!= I$5), 0, MATCH($Q$2,#REF!, 0))=$H20, 1, 0))=0, "", SUM(IF(INDEX(_xlfn._xlws.FILTER(#REF!,#REF!= I$5), 0, MATCH($Q$2,#REF!, 0))=$H20, 1, 0)))))</f>
        <v/>
      </c>
      <c r="J20" s="35" t="str" cm="1">
        <f t="array" ref="J20">IFERROR(IF(OR($H20="", J19=""), "", IF($H20=2, SUM(IF(INDEX(_xlfn._xlws.FILTER(#REF!,#REF!= J$5), 0, MATCH($Q$2,#REF!, 0))&gt;1.9, 1, 0)), IF(SUM(IF(INDEX(_xlfn._xlws.FILTER(#REF!,#REF!= J$5), 0, MATCH($Q$2,#REF!, 0))=$H20, 1, 0))=0, "", SUM(IF(INDEX(_xlfn._xlws.FILTER(#REF!,#REF!= J$5), 0, MATCH($Q$2,#REF!, 0))=$H20, 1, 0))))), "")</f>
        <v/>
      </c>
      <c r="K20" s="35" t="str" cm="1">
        <f t="array" ref="K20">IFERROR(IF(OR($H20="", K19=""), "", IF($H20=2, SUM(IF(INDEX(_xlfn._xlws.FILTER(#REF!,#REF!= K$5), 0, MATCH($Q$2,#REF!, 0))&gt;1.9, 1, 0)), IF(SUM(IF(INDEX(_xlfn._xlws.FILTER(#REF!,#REF!= K$5), 0, MATCH($Q$2,#REF!, 0))=$H20, 1, 0))=0, "", SUM(IF(INDEX(_xlfn._xlws.FILTER(#REF!,#REF!= K$5), 0, MATCH($Q$2,#REF!, 0))=$H20, 1, 0))))), "")</f>
        <v/>
      </c>
      <c r="L20" s="35" t="str" cm="1">
        <f t="array" ref="L20">IFERROR(IF(OR($H20="", L19=""), "", IF($H20=2, SUM(IF(INDEX(_xlfn._xlws.FILTER(#REF!,#REF!= L$5), 0, MATCH($Q$2,#REF!, 0))&gt;1.9, 1, 0)), IF(SUM(IF(INDEX(_xlfn._xlws.FILTER(#REF!,#REF!= L$5), 0, MATCH($Q$2,#REF!, 0))=$H20, 1, 0))=0, "", SUM(IF(INDEX(_xlfn._xlws.FILTER(#REF!,#REF!= L$5), 0, MATCH($Q$2,#REF!, 0))=$H20, 1, 0))))), "")</f>
        <v/>
      </c>
      <c r="M20" s="35" t="str" cm="1">
        <f t="array" ref="M20">IFERROR(IF(OR($H20="", M19=""), "", IF($H20=2, SUM(IF(INDEX(_xlfn._xlws.FILTER(#REF!,#REF!= M$5), 0, MATCH($Q$2,#REF!, 0))&gt;1.9, 1, 0)), IF(SUM(IF(INDEX(_xlfn._xlws.FILTER(#REF!,#REF!= M$5), 0, MATCH($Q$2,#REF!, 0))=$H20, 1, 0))=0, "", SUM(IF(INDEX(_xlfn._xlws.FILTER(#REF!,#REF!= M$5), 0, MATCH($Q$2,#REF!, 0))=$H20, 1, 0))))), "")</f>
        <v/>
      </c>
      <c r="Z20" s="60"/>
    </row>
    <row r="21" spans="1:28" x14ac:dyDescent="0.55000000000000004">
      <c r="A21" s="37"/>
      <c r="B21" s="35" t="str" cm="1">
        <f t="array" ref="B21">IF($A21="", "", IF(SUM(IF(INDEX(_xlfn._xlws.FILTER(#REF!, tblPiNAnalysis[Population Group]=B$5), 0, MATCH(_xlfn.CONCAT($Q$2, "%"), #REF!, 0))=$A21, 1, 0))=0, "",SUM(IF(INDEX(_xlfn._xlws.FILTER(#REF!, tblPiNAnalysis[Population Group]=B$5), 0, MATCH(_xlfn.CONCAT($Q$2, "%"), #REF!, 0))=$A21, 1, 0))))</f>
        <v/>
      </c>
      <c r="C21" s="35" t="str" cm="1">
        <f t="array" ref="C21">IFERROR(IF(OR($A21="", C$5=""), "", IF(SUM(IF(INDEX(_xlfn._xlws.FILTER(#REF!, tblPiNAnalysis[Population Group]=C$5), 0, MATCH(_xlfn.CONCAT($Q$2, "%"), #REF!, 0))=$A21, 1, 0))=0, "",SUM(IF(INDEX(_xlfn._xlws.FILTER(#REF!, tblPiNAnalysis[Population Group]=C$5), 0, MATCH(_xlfn.CONCAT($Q$2, "%"), #REF!, 0))=$A21, 1, 0)))), "")</f>
        <v/>
      </c>
      <c r="D21" s="35" t="str" cm="1">
        <f t="array" ref="D21">IFERROR(IF(OR($A21="", D$5=""), "", IF(SUM(IF(INDEX(_xlfn._xlws.FILTER(#REF!, tblPiNAnalysis[Population Group]=D$5), 0, MATCH(_xlfn.CONCAT($Q$2, "%"), #REF!, 0))=$A21, 1, 0))=0, "",SUM(IF(INDEX(_xlfn._xlws.FILTER(#REF!, tblPiNAnalysis[Population Group]=D$5), 0, MATCH(_xlfn.CONCAT($Q$2, "%"), #REF!, 0))=$A21, 1, 0)))), "")</f>
        <v/>
      </c>
      <c r="E21" s="35" t="str" cm="1">
        <f t="array" ref="E21">IFERROR(IF(OR($A21="", E$5=""), "", IF(SUM(IF(INDEX(_xlfn._xlws.FILTER(#REF!, tblPiNAnalysis[Population Group]=E$5), 0, MATCH(_xlfn.CONCAT($Q$2, "%"), #REF!, 0))=$A21, 1, 0))=0, "",SUM(IF(INDEX(_xlfn._xlws.FILTER(#REF!, tblPiNAnalysis[Population Group]=E$5), 0, MATCH(_xlfn.CONCAT($Q$2, "%"), #REF!, 0))=$A21, 1, 0)))), "")</f>
        <v/>
      </c>
      <c r="F21" s="35" t="str" cm="1">
        <f t="array" ref="F21">IFERROR(IF(OR($A21="", F$5=""), "", IF(SUM(IF(INDEX(_xlfn._xlws.FILTER(#REF!, tblPiNAnalysis[CCCM]=F$5), 0, MATCH(_xlfn.CONCAT($Q$2, "%"), #REF!, 0))=$A21, 1, 0))=0, "",SUM(IF(INDEX(_xlfn._xlws.FILTER(#REF!, tblPiNAnalysis[CCCM]=F$5), 0, MATCH(_xlfn.CONCAT($Q$2, "%"), #REF!, 0))=$A21, 1, 0)))), "")</f>
        <v/>
      </c>
      <c r="H21" s="37"/>
      <c r="I21" s="35" t="str" cm="1">
        <f t="array" ref="I21">IF($H21="", "", IF($H21=2, SUM(IF(INDEX(_xlfn._xlws.FILTER(#REF!,#REF!= I$5), 0, MATCH($Q$2,#REF!, 0))&gt;1.9, 1, 0)), IF(SUM(IF(INDEX(_xlfn._xlws.FILTER(#REF!,#REF!= I$5), 0, MATCH($Q$2,#REF!, 0))=$H21, 1, 0))=0, "", SUM(IF(INDEX(_xlfn._xlws.FILTER(#REF!,#REF!= I$5), 0, MATCH($Q$2,#REF!, 0))=$H21, 1, 0)))))</f>
        <v/>
      </c>
      <c r="J21" s="35" t="str" cm="1">
        <f t="array" ref="J21">IFERROR(IF(OR($H21="", J20=""), "", IF($H21=2, SUM(IF(INDEX(_xlfn._xlws.FILTER(#REF!,#REF!= J$5), 0, MATCH($Q$2,#REF!, 0))&gt;1.9, 1, 0)), IF(SUM(IF(INDEX(_xlfn._xlws.FILTER(#REF!,#REF!= J$5), 0, MATCH($Q$2,#REF!, 0))=$H21, 1, 0))=0, "", SUM(IF(INDEX(_xlfn._xlws.FILTER(#REF!,#REF!= J$5), 0, MATCH($Q$2,#REF!, 0))=$H21, 1, 0))))), "")</f>
        <v/>
      </c>
      <c r="K21" s="35" t="str" cm="1">
        <f t="array" ref="K21">IFERROR(IF(OR($H21="", K20=""), "", IF($H21=2, SUM(IF(INDEX(_xlfn._xlws.FILTER(#REF!,#REF!= K$5), 0, MATCH($Q$2,#REF!, 0))&gt;1.9, 1, 0)), IF(SUM(IF(INDEX(_xlfn._xlws.FILTER(#REF!,#REF!= K$5), 0, MATCH($Q$2,#REF!, 0))=$H21, 1, 0))=0, "", SUM(IF(INDEX(_xlfn._xlws.FILTER(#REF!,#REF!= K$5), 0, MATCH($Q$2,#REF!, 0))=$H21, 1, 0))))), "")</f>
        <v/>
      </c>
      <c r="L21" s="35" t="str" cm="1">
        <f t="array" ref="L21">IFERROR(IF(OR($H21="", L20=""), "", IF($H21=2, SUM(IF(INDEX(_xlfn._xlws.FILTER(#REF!,#REF!= L$5), 0, MATCH($Q$2,#REF!, 0))&gt;1.9, 1, 0)), IF(SUM(IF(INDEX(_xlfn._xlws.FILTER(#REF!,#REF!= L$5), 0, MATCH($Q$2,#REF!, 0))=$H21, 1, 0))=0, "", SUM(IF(INDEX(_xlfn._xlws.FILTER(#REF!,#REF!= L$5), 0, MATCH($Q$2,#REF!, 0))=$H21, 1, 0))))), "")</f>
        <v/>
      </c>
      <c r="M21" s="35" t="str" cm="1">
        <f t="array" ref="M21">IFERROR(IF(OR($H21="", M20=""), "", IF($H21=2, SUM(IF(INDEX(_xlfn._xlws.FILTER(#REF!,#REF!= M$5), 0, MATCH($Q$2,#REF!, 0))&gt;1.9, 1, 0)), IF(SUM(IF(INDEX(_xlfn._xlws.FILTER(#REF!,#REF!= M$5), 0, MATCH($Q$2,#REF!, 0))=$H21, 1, 0))=0, "", SUM(IF(INDEX(_xlfn._xlws.FILTER(#REF!,#REF!= M$5), 0, MATCH($Q$2,#REF!, 0))=$H21, 1, 0))))), "")</f>
        <v/>
      </c>
      <c r="Z21" s="60"/>
    </row>
    <row r="22" spans="1:28" x14ac:dyDescent="0.55000000000000004">
      <c r="A22" s="37"/>
      <c r="B22" s="35" t="str" cm="1">
        <f t="array" ref="B22">IF($A22="", "", IF(SUM(IF(INDEX(_xlfn._xlws.FILTER(#REF!, tblPiNAnalysis[Population Group]=B$5), 0, MATCH(_xlfn.CONCAT($Q$2, "%"), #REF!, 0))=$A22, 1, 0))=0, "",SUM(IF(INDEX(_xlfn._xlws.FILTER(#REF!, tblPiNAnalysis[Population Group]=B$5), 0, MATCH(_xlfn.CONCAT($Q$2, "%"), #REF!, 0))=$A22, 1, 0))))</f>
        <v/>
      </c>
      <c r="C22" s="35" t="str" cm="1">
        <f t="array" ref="C22">IFERROR(IF(OR($A22="", C$5=""), "", IF(SUM(IF(INDEX(_xlfn._xlws.FILTER(#REF!, tblPiNAnalysis[Population Group]=C$5), 0, MATCH(_xlfn.CONCAT($Q$2, "%"), #REF!, 0))=$A22, 1, 0))=0, "",SUM(IF(INDEX(_xlfn._xlws.FILTER(#REF!, tblPiNAnalysis[Population Group]=C$5), 0, MATCH(_xlfn.CONCAT($Q$2, "%"), #REF!, 0))=$A22, 1, 0)))), "")</f>
        <v/>
      </c>
      <c r="D22" s="35" t="str" cm="1">
        <f t="array" ref="D22">IFERROR(IF(OR($A22="", D$5=""), "", IF(SUM(IF(INDEX(_xlfn._xlws.FILTER(#REF!, tblPiNAnalysis[Population Group]=D$5), 0, MATCH(_xlfn.CONCAT($Q$2, "%"), #REF!, 0))=$A22, 1, 0))=0, "",SUM(IF(INDEX(_xlfn._xlws.FILTER(#REF!, tblPiNAnalysis[Population Group]=D$5), 0, MATCH(_xlfn.CONCAT($Q$2, "%"), #REF!, 0))=$A22, 1, 0)))), "")</f>
        <v/>
      </c>
      <c r="E22" s="35" t="str" cm="1">
        <f t="array" ref="E22">IFERROR(IF(OR($A22="", E$5=""), "", IF(SUM(IF(INDEX(_xlfn._xlws.FILTER(#REF!, tblPiNAnalysis[Population Group]=E$5), 0, MATCH(_xlfn.CONCAT($Q$2, "%"), #REF!, 0))=$A22, 1, 0))=0, "",SUM(IF(INDEX(_xlfn._xlws.FILTER(#REF!, tblPiNAnalysis[Population Group]=E$5), 0, MATCH(_xlfn.CONCAT($Q$2, "%"), #REF!, 0))=$A22, 1, 0)))), "")</f>
        <v/>
      </c>
      <c r="F22" s="35" t="str" cm="1">
        <f t="array" ref="F22">IFERROR(IF(OR($A22="", F$5=""), "", IF(SUM(IF(INDEX(_xlfn._xlws.FILTER(#REF!, tblPiNAnalysis[CCCM]=F$5), 0, MATCH(_xlfn.CONCAT($Q$2, "%"), #REF!, 0))=$A22, 1, 0))=0, "",SUM(IF(INDEX(_xlfn._xlws.FILTER(#REF!, tblPiNAnalysis[CCCM]=F$5), 0, MATCH(_xlfn.CONCAT($Q$2, "%"), #REF!, 0))=$A22, 1, 0)))), "")</f>
        <v/>
      </c>
      <c r="H22" s="37"/>
      <c r="I22" s="35" t="str" cm="1">
        <f t="array" ref="I22">IF($H22="", "", IF($H22=2, SUM(IF(INDEX(_xlfn._xlws.FILTER(#REF!,#REF!= I$5), 0, MATCH($Q$2,#REF!, 0))&gt;1.9, 1, 0)), IF(SUM(IF(INDEX(_xlfn._xlws.FILTER(#REF!,#REF!= I$5), 0, MATCH($Q$2,#REF!, 0))=$H22, 1, 0))=0, "", SUM(IF(INDEX(_xlfn._xlws.FILTER(#REF!,#REF!= I$5), 0, MATCH($Q$2,#REF!, 0))=$H22, 1, 0)))))</f>
        <v/>
      </c>
      <c r="J22" s="35" t="str" cm="1">
        <f t="array" ref="J22">IFERROR(IF(OR($H22="", J21=""), "", IF($H22=2, SUM(IF(INDEX(_xlfn._xlws.FILTER(#REF!,#REF!= J$5), 0, MATCH($Q$2,#REF!, 0))&gt;1.9, 1, 0)), IF(SUM(IF(INDEX(_xlfn._xlws.FILTER(#REF!,#REF!= J$5), 0, MATCH($Q$2,#REF!, 0))=$H22, 1, 0))=0, "", SUM(IF(INDEX(_xlfn._xlws.FILTER(#REF!,#REF!= J$5), 0, MATCH($Q$2,#REF!, 0))=$H22, 1, 0))))), "")</f>
        <v/>
      </c>
      <c r="K22" s="35" t="str" cm="1">
        <f t="array" ref="K22">IFERROR(IF(OR($H22="", K21=""), "", IF($H22=2, SUM(IF(INDEX(_xlfn._xlws.FILTER(#REF!,#REF!= K$5), 0, MATCH($Q$2,#REF!, 0))&gt;1.9, 1, 0)), IF(SUM(IF(INDEX(_xlfn._xlws.FILTER(#REF!,#REF!= K$5), 0, MATCH($Q$2,#REF!, 0))=$H22, 1, 0))=0, "", SUM(IF(INDEX(_xlfn._xlws.FILTER(#REF!,#REF!= K$5), 0, MATCH($Q$2,#REF!, 0))=$H22, 1, 0))))), "")</f>
        <v/>
      </c>
      <c r="L22" s="35" t="str" cm="1">
        <f t="array" ref="L22">IFERROR(IF(OR($H22="", L21=""), "", IF($H22=2, SUM(IF(INDEX(_xlfn._xlws.FILTER(#REF!,#REF!= L$5), 0, MATCH($Q$2,#REF!, 0))&gt;1.9, 1, 0)), IF(SUM(IF(INDEX(_xlfn._xlws.FILTER(#REF!,#REF!= L$5), 0, MATCH($Q$2,#REF!, 0))=$H22, 1, 0))=0, "", SUM(IF(INDEX(_xlfn._xlws.FILTER(#REF!,#REF!= L$5), 0, MATCH($Q$2,#REF!, 0))=$H22, 1, 0))))), "")</f>
        <v/>
      </c>
      <c r="M22" s="35" t="str" cm="1">
        <f t="array" ref="M22">IFERROR(IF(OR($H22="", M21=""), "", IF($H22=2, SUM(IF(INDEX(_xlfn._xlws.FILTER(#REF!,#REF!= M$5), 0, MATCH($Q$2,#REF!, 0))&gt;1.9, 1, 0)), IF(SUM(IF(INDEX(_xlfn._xlws.FILTER(#REF!,#REF!= M$5), 0, MATCH($Q$2,#REF!, 0))=$H22, 1, 0))=0, "", SUM(IF(INDEX(_xlfn._xlws.FILTER(#REF!,#REF!= M$5), 0, MATCH($Q$2,#REF!, 0))=$H22, 1, 0))))), "")</f>
        <v/>
      </c>
      <c r="Z22" s="60"/>
    </row>
    <row r="23" spans="1:28" x14ac:dyDescent="0.55000000000000004">
      <c r="A23" s="37"/>
      <c r="B23" s="35" t="str" cm="1">
        <f t="array" ref="B23">IF($A23="", "", IF(SUM(IF(INDEX(_xlfn._xlws.FILTER(#REF!, tblPiNAnalysis[Population Group]=B$5), 0, MATCH(_xlfn.CONCAT($Q$2, "%"), #REF!, 0))=$A23, 1, 0))=0, "",SUM(IF(INDEX(_xlfn._xlws.FILTER(#REF!, tblPiNAnalysis[Population Group]=B$5), 0, MATCH(_xlfn.CONCAT($Q$2, "%"), #REF!, 0))=$A23, 1, 0))))</f>
        <v/>
      </c>
      <c r="C23" s="35" t="str" cm="1">
        <f t="array" ref="C23">IFERROR(IF(OR($A23="", C$5=""), "", IF(SUM(IF(INDEX(_xlfn._xlws.FILTER(#REF!, tblPiNAnalysis[Population Group]=C$5), 0, MATCH(_xlfn.CONCAT($Q$2, "%"), #REF!, 0))=$A23, 1, 0))=0, "",SUM(IF(INDEX(_xlfn._xlws.FILTER(#REF!, tblPiNAnalysis[Population Group]=C$5), 0, MATCH(_xlfn.CONCAT($Q$2, "%"), #REF!, 0))=$A23, 1, 0)))), "")</f>
        <v/>
      </c>
      <c r="D23" s="35" t="str" cm="1">
        <f t="array" ref="D23">IFERROR(IF(OR($A23="", D$5=""), "", IF(SUM(IF(INDEX(_xlfn._xlws.FILTER(#REF!, tblPiNAnalysis[Population Group]=D$5), 0, MATCH(_xlfn.CONCAT($Q$2, "%"), #REF!, 0))=$A23, 1, 0))=0, "",SUM(IF(INDEX(_xlfn._xlws.FILTER(#REF!, tblPiNAnalysis[Population Group]=D$5), 0, MATCH(_xlfn.CONCAT($Q$2, "%"), #REF!, 0))=$A23, 1, 0)))), "")</f>
        <v/>
      </c>
      <c r="E23" s="35" t="str" cm="1">
        <f t="array" ref="E23">IFERROR(IF(OR($A23="", E$5=""), "", IF(SUM(IF(INDEX(_xlfn._xlws.FILTER(#REF!, tblPiNAnalysis[Population Group]=E$5), 0, MATCH(_xlfn.CONCAT($Q$2, "%"), #REF!, 0))=$A23, 1, 0))=0, "",SUM(IF(INDEX(_xlfn._xlws.FILTER(#REF!, tblPiNAnalysis[Population Group]=E$5), 0, MATCH(_xlfn.CONCAT($Q$2, "%"), #REF!, 0))=$A23, 1, 0)))), "")</f>
        <v/>
      </c>
      <c r="F23" s="35" t="str" cm="1">
        <f t="array" ref="F23">IFERROR(IF(OR($A23="", F$5=""), "", IF(SUM(IF(INDEX(_xlfn._xlws.FILTER(#REF!, tblPiNAnalysis[CCCM]=F$5), 0, MATCH(_xlfn.CONCAT($Q$2, "%"), #REF!, 0))=$A23, 1, 0))=0, "",SUM(IF(INDEX(_xlfn._xlws.FILTER(#REF!, tblPiNAnalysis[CCCM]=F$5), 0, MATCH(_xlfn.CONCAT($Q$2, "%"), #REF!, 0))=$A23, 1, 0)))), "")</f>
        <v/>
      </c>
      <c r="H23" s="37"/>
      <c r="I23" s="35" t="str" cm="1">
        <f t="array" ref="I23">IF($H23="", "", IF($H23=2, SUM(IF(INDEX(_xlfn._xlws.FILTER(#REF!,#REF!= I$5), 0, MATCH($Q$2,#REF!, 0))&gt;1.9, 1, 0)), IF(SUM(IF(INDEX(_xlfn._xlws.FILTER(#REF!,#REF!= I$5), 0, MATCH($Q$2,#REF!, 0))=$H23, 1, 0))=0, "", SUM(IF(INDEX(_xlfn._xlws.FILTER(#REF!,#REF!= I$5), 0, MATCH($Q$2,#REF!, 0))=$H23, 1, 0)))))</f>
        <v/>
      </c>
      <c r="J23" s="35" t="str" cm="1">
        <f t="array" ref="J23">IFERROR(IF(OR($H23="", J22=""), "", IF($H23=2, SUM(IF(INDEX(_xlfn._xlws.FILTER(#REF!,#REF!= J$5), 0, MATCH($Q$2,#REF!, 0))&gt;1.9, 1, 0)), IF(SUM(IF(INDEX(_xlfn._xlws.FILTER(#REF!,#REF!= J$5), 0, MATCH($Q$2,#REF!, 0))=$H23, 1, 0))=0, "", SUM(IF(INDEX(_xlfn._xlws.FILTER(#REF!,#REF!= J$5), 0, MATCH($Q$2,#REF!, 0))=$H23, 1, 0))))), "")</f>
        <v/>
      </c>
      <c r="K23" s="35" t="str" cm="1">
        <f t="array" ref="K23">IFERROR(IF(OR($H23="", K22=""), "", IF($H23=2, SUM(IF(INDEX(_xlfn._xlws.FILTER(#REF!,#REF!= K$5), 0, MATCH($Q$2,#REF!, 0))&gt;1.9, 1, 0)), IF(SUM(IF(INDEX(_xlfn._xlws.FILTER(#REF!,#REF!= K$5), 0, MATCH($Q$2,#REF!, 0))=$H23, 1, 0))=0, "", SUM(IF(INDEX(_xlfn._xlws.FILTER(#REF!,#REF!= K$5), 0, MATCH($Q$2,#REF!, 0))=$H23, 1, 0))))), "")</f>
        <v/>
      </c>
      <c r="L23" s="35" t="str" cm="1">
        <f t="array" ref="L23">IFERROR(IF(OR($H23="", L22=""), "", IF($H23=2, SUM(IF(INDEX(_xlfn._xlws.FILTER(#REF!,#REF!= L$5), 0, MATCH($Q$2,#REF!, 0))&gt;1.9, 1, 0)), IF(SUM(IF(INDEX(_xlfn._xlws.FILTER(#REF!,#REF!= L$5), 0, MATCH($Q$2,#REF!, 0))=$H23, 1, 0))=0, "", SUM(IF(INDEX(_xlfn._xlws.FILTER(#REF!,#REF!= L$5), 0, MATCH($Q$2,#REF!, 0))=$H23, 1, 0))))), "")</f>
        <v/>
      </c>
      <c r="M23" s="35" t="str" cm="1">
        <f t="array" ref="M23">IFERROR(IF(OR($H23="", M22=""), "", IF($H23=2, SUM(IF(INDEX(_xlfn._xlws.FILTER(#REF!,#REF!= M$5), 0, MATCH($Q$2,#REF!, 0))&gt;1.9, 1, 0)), IF(SUM(IF(INDEX(_xlfn._xlws.FILTER(#REF!,#REF!= M$5), 0, MATCH($Q$2,#REF!, 0))=$H23, 1, 0))=0, "", SUM(IF(INDEX(_xlfn._xlws.FILTER(#REF!,#REF!= M$5), 0, MATCH($Q$2,#REF!, 0))=$H23, 1, 0))))), "")</f>
        <v/>
      </c>
      <c r="Z23" s="60"/>
    </row>
    <row r="24" spans="1:28" x14ac:dyDescent="0.55000000000000004">
      <c r="A24" s="37"/>
      <c r="B24" s="35" t="str" cm="1">
        <f t="array" ref="B24">IF($A24="", "", IF(SUM(IF(INDEX(_xlfn._xlws.FILTER(#REF!, tblPiNAnalysis[Population Group]=B$5), 0, MATCH(_xlfn.CONCAT($Q$2, "%"), #REF!, 0))=$A24, 1, 0))=0, "",SUM(IF(INDEX(_xlfn._xlws.FILTER(#REF!, tblPiNAnalysis[Population Group]=B$5), 0, MATCH(_xlfn.CONCAT($Q$2, "%"), #REF!, 0))=$A24, 1, 0))))</f>
        <v/>
      </c>
      <c r="C24" s="35" t="str" cm="1">
        <f t="array" ref="C24">IFERROR(IF(OR($A24="", C$5=""), "", IF(SUM(IF(INDEX(_xlfn._xlws.FILTER(#REF!, tblPiNAnalysis[Population Group]=C$5), 0, MATCH(_xlfn.CONCAT($Q$2, "%"), #REF!, 0))=$A24, 1, 0))=0, "",SUM(IF(INDEX(_xlfn._xlws.FILTER(#REF!, tblPiNAnalysis[Population Group]=C$5), 0, MATCH(_xlfn.CONCAT($Q$2, "%"), #REF!, 0))=$A24, 1, 0)))), "")</f>
        <v/>
      </c>
      <c r="D24" s="35" t="str" cm="1">
        <f t="array" ref="D24">IFERROR(IF(OR($A24="", D$5=""), "", IF(SUM(IF(INDEX(_xlfn._xlws.FILTER(#REF!, tblPiNAnalysis[Population Group]=D$5), 0, MATCH(_xlfn.CONCAT($Q$2, "%"), #REF!, 0))=$A24, 1, 0))=0, "",SUM(IF(INDEX(_xlfn._xlws.FILTER(#REF!, tblPiNAnalysis[Population Group]=D$5), 0, MATCH(_xlfn.CONCAT($Q$2, "%"), #REF!, 0))=$A24, 1, 0)))), "")</f>
        <v/>
      </c>
      <c r="E24" s="35" t="str" cm="1">
        <f t="array" ref="E24">IFERROR(IF(OR($A24="", E$5=""), "", IF(SUM(IF(INDEX(_xlfn._xlws.FILTER(#REF!, tblPiNAnalysis[Population Group]=E$5), 0, MATCH(_xlfn.CONCAT($Q$2, "%"), #REF!, 0))=$A24, 1, 0))=0, "",SUM(IF(INDEX(_xlfn._xlws.FILTER(#REF!, tblPiNAnalysis[Population Group]=E$5), 0, MATCH(_xlfn.CONCAT($Q$2, "%"), #REF!, 0))=$A24, 1, 0)))), "")</f>
        <v/>
      </c>
      <c r="F24" s="35" t="str" cm="1">
        <f t="array" ref="F24">IFERROR(IF(OR($A24="", F$5=""), "", IF(SUM(IF(INDEX(_xlfn._xlws.FILTER(#REF!, tblPiNAnalysis[CCCM]=F$5), 0, MATCH(_xlfn.CONCAT($Q$2, "%"), #REF!, 0))=$A24, 1, 0))=0, "",SUM(IF(INDEX(_xlfn._xlws.FILTER(#REF!, tblPiNAnalysis[CCCM]=F$5), 0, MATCH(_xlfn.CONCAT($Q$2, "%"), #REF!, 0))=$A24, 1, 0)))), "")</f>
        <v/>
      </c>
      <c r="H24" s="37"/>
      <c r="I24" s="35" t="str" cm="1">
        <f t="array" ref="I24">IF($H24="", "", IF($H24=2, SUM(IF(INDEX(_xlfn._xlws.FILTER(#REF!,#REF!= I$5), 0, MATCH($Q$2,#REF!, 0))&gt;1.9, 1, 0)), IF(SUM(IF(INDEX(_xlfn._xlws.FILTER(#REF!,#REF!= I$5), 0, MATCH($Q$2,#REF!, 0))=$H24, 1, 0))=0, "", SUM(IF(INDEX(_xlfn._xlws.FILTER(#REF!,#REF!= I$5), 0, MATCH($Q$2,#REF!, 0))=$H24, 1, 0)))))</f>
        <v/>
      </c>
      <c r="J24" s="35" t="str" cm="1">
        <f t="array" ref="J24">IFERROR(IF(OR($H24="", J23=""), "", IF($H24=2, SUM(IF(INDEX(_xlfn._xlws.FILTER(#REF!,#REF!= J$5), 0, MATCH($Q$2,#REF!, 0))&gt;1.9, 1, 0)), IF(SUM(IF(INDEX(_xlfn._xlws.FILTER(#REF!,#REF!= J$5), 0, MATCH($Q$2,#REF!, 0))=$H24, 1, 0))=0, "", SUM(IF(INDEX(_xlfn._xlws.FILTER(#REF!,#REF!= J$5), 0, MATCH($Q$2,#REF!, 0))=$H24, 1, 0))))), "")</f>
        <v/>
      </c>
      <c r="K24" s="35" t="str" cm="1">
        <f t="array" ref="K24">IFERROR(IF(OR($H24="", K23=""), "", IF($H24=2, SUM(IF(INDEX(_xlfn._xlws.FILTER(#REF!,#REF!= K$5), 0, MATCH($Q$2,#REF!, 0))&gt;1.9, 1, 0)), IF(SUM(IF(INDEX(_xlfn._xlws.FILTER(#REF!,#REF!= K$5), 0, MATCH($Q$2,#REF!, 0))=$H24, 1, 0))=0, "", SUM(IF(INDEX(_xlfn._xlws.FILTER(#REF!,#REF!= K$5), 0, MATCH($Q$2,#REF!, 0))=$H24, 1, 0))))), "")</f>
        <v/>
      </c>
      <c r="L24" s="35" t="str" cm="1">
        <f t="array" ref="L24">IFERROR(IF(OR($H24="", L23=""), "", IF($H24=2, SUM(IF(INDEX(_xlfn._xlws.FILTER(#REF!,#REF!= L$5), 0, MATCH($Q$2,#REF!, 0))&gt;1.9, 1, 0)), IF(SUM(IF(INDEX(_xlfn._xlws.FILTER(#REF!,#REF!= L$5), 0, MATCH($Q$2,#REF!, 0))=$H24, 1, 0))=0, "", SUM(IF(INDEX(_xlfn._xlws.FILTER(#REF!,#REF!= L$5), 0, MATCH($Q$2,#REF!, 0))=$H24, 1, 0))))), "")</f>
        <v/>
      </c>
      <c r="M24" s="35" t="str" cm="1">
        <f t="array" ref="M24">IFERROR(IF(OR($H24="", M23=""), "", IF($H24=2, SUM(IF(INDEX(_xlfn._xlws.FILTER(#REF!,#REF!= M$5), 0, MATCH($Q$2,#REF!, 0))&gt;1.9, 1, 0)), IF(SUM(IF(INDEX(_xlfn._xlws.FILTER(#REF!,#REF!= M$5), 0, MATCH($Q$2,#REF!, 0))=$H24, 1, 0))=0, "", SUM(IF(INDEX(_xlfn._xlws.FILTER(#REF!,#REF!= M$5), 0, MATCH($Q$2,#REF!, 0))=$H24, 1, 0))))), "")</f>
        <v/>
      </c>
      <c r="Z24" s="60"/>
    </row>
    <row r="25" spans="1:28" x14ac:dyDescent="0.55000000000000004">
      <c r="A25" s="37"/>
      <c r="B25" s="35" t="str" cm="1">
        <f t="array" ref="B25">IF($A25="", "", IF(SUM(IF(INDEX(_xlfn._xlws.FILTER(#REF!, tblPiNAnalysis[Population Group]=B$5), 0, MATCH(_xlfn.CONCAT($Q$2, "%"), #REF!, 0))=$A25, 1, 0))=0, "",SUM(IF(INDEX(_xlfn._xlws.FILTER(#REF!, tblPiNAnalysis[Population Group]=B$5), 0, MATCH(_xlfn.CONCAT($Q$2, "%"), #REF!, 0))=$A25, 1, 0))))</f>
        <v/>
      </c>
      <c r="C25" s="35" t="str" cm="1">
        <f t="array" ref="C25">IFERROR(IF(OR($A25="", C$5=""), "", IF(SUM(IF(INDEX(_xlfn._xlws.FILTER(#REF!, tblPiNAnalysis[Population Group]=C$5), 0, MATCH(_xlfn.CONCAT($Q$2, "%"), #REF!, 0))=$A25, 1, 0))=0, "",SUM(IF(INDEX(_xlfn._xlws.FILTER(#REF!, tblPiNAnalysis[Population Group]=C$5), 0, MATCH(_xlfn.CONCAT($Q$2, "%"), #REF!, 0))=$A25, 1, 0)))), "")</f>
        <v/>
      </c>
      <c r="D25" s="35" t="str" cm="1">
        <f t="array" ref="D25">IFERROR(IF(OR($A25="", D$5=""), "", IF(SUM(IF(INDEX(_xlfn._xlws.FILTER(#REF!, tblPiNAnalysis[Population Group]=D$5), 0, MATCH(_xlfn.CONCAT($Q$2, "%"), #REF!, 0))=$A25, 1, 0))=0, "",SUM(IF(INDEX(_xlfn._xlws.FILTER(#REF!, tblPiNAnalysis[Population Group]=D$5), 0, MATCH(_xlfn.CONCAT($Q$2, "%"), #REF!, 0))=$A25, 1, 0)))), "")</f>
        <v/>
      </c>
      <c r="E25" s="35" t="str" cm="1">
        <f t="array" ref="E25">IFERROR(IF(OR($A25="", E$5=""), "", IF(SUM(IF(INDEX(_xlfn._xlws.FILTER(#REF!, tblPiNAnalysis[Population Group]=E$5), 0, MATCH(_xlfn.CONCAT($Q$2, "%"), #REF!, 0))=$A25, 1, 0))=0, "",SUM(IF(INDEX(_xlfn._xlws.FILTER(#REF!, tblPiNAnalysis[Population Group]=E$5), 0, MATCH(_xlfn.CONCAT($Q$2, "%"), #REF!, 0))=$A25, 1, 0)))), "")</f>
        <v/>
      </c>
      <c r="F25" s="35" t="str" cm="1">
        <f t="array" ref="F25">IFERROR(IF(OR($A25="", F$5=""), "", IF(SUM(IF(INDEX(_xlfn._xlws.FILTER(#REF!, tblPiNAnalysis[CCCM]=F$5), 0, MATCH(_xlfn.CONCAT($Q$2, "%"), #REF!, 0))=$A25, 1, 0))=0, "",SUM(IF(INDEX(_xlfn._xlws.FILTER(#REF!, tblPiNAnalysis[CCCM]=F$5), 0, MATCH(_xlfn.CONCAT($Q$2, "%"), #REF!, 0))=$A25, 1, 0)))), "")</f>
        <v/>
      </c>
      <c r="H25" s="37"/>
      <c r="I25" s="35" t="str" cm="1">
        <f t="array" ref="I25">IF($H25="", "", IF($H25=2, SUM(IF(INDEX(_xlfn._xlws.FILTER(#REF!,#REF!= I$5), 0, MATCH($Q$2,#REF!, 0))&gt;1.9, 1, 0)), IF(SUM(IF(INDEX(_xlfn._xlws.FILTER(#REF!,#REF!= I$5), 0, MATCH($Q$2,#REF!, 0))=$H25, 1, 0))=0, "", SUM(IF(INDEX(_xlfn._xlws.FILTER(#REF!,#REF!= I$5), 0, MATCH($Q$2,#REF!, 0))=$H25, 1, 0)))))</f>
        <v/>
      </c>
      <c r="J25" s="35" t="str" cm="1">
        <f t="array" ref="J25">IFERROR(IF(OR($H25="", J24=""), "", IF($H25=2, SUM(IF(INDEX(_xlfn._xlws.FILTER(#REF!,#REF!= J$5), 0, MATCH($Q$2,#REF!, 0))&gt;1.9, 1, 0)), IF(SUM(IF(INDEX(_xlfn._xlws.FILTER(#REF!,#REF!= J$5), 0, MATCH($Q$2,#REF!, 0))=$H25, 1, 0))=0, "", SUM(IF(INDEX(_xlfn._xlws.FILTER(#REF!,#REF!= J$5), 0, MATCH($Q$2,#REF!, 0))=$H25, 1, 0))))), "")</f>
        <v/>
      </c>
      <c r="K25" s="35" t="str" cm="1">
        <f t="array" ref="K25">IFERROR(IF(OR($H25="", K24=""), "", IF($H25=2, SUM(IF(INDEX(_xlfn._xlws.FILTER(#REF!,#REF!= K$5), 0, MATCH($Q$2,#REF!, 0))&gt;1.9, 1, 0)), IF(SUM(IF(INDEX(_xlfn._xlws.FILTER(#REF!,#REF!= K$5), 0, MATCH($Q$2,#REF!, 0))=$H25, 1, 0))=0, "", SUM(IF(INDEX(_xlfn._xlws.FILTER(#REF!,#REF!= K$5), 0, MATCH($Q$2,#REF!, 0))=$H25, 1, 0))))), "")</f>
        <v/>
      </c>
      <c r="L25" s="35" t="str" cm="1">
        <f t="array" ref="L25">IFERROR(IF(OR($H25="", L24=""), "", IF($H25=2, SUM(IF(INDEX(_xlfn._xlws.FILTER(#REF!,#REF!= L$5), 0, MATCH($Q$2,#REF!, 0))&gt;1.9, 1, 0)), IF(SUM(IF(INDEX(_xlfn._xlws.FILTER(#REF!,#REF!= L$5), 0, MATCH($Q$2,#REF!, 0))=$H25, 1, 0))=0, "", SUM(IF(INDEX(_xlfn._xlws.FILTER(#REF!,#REF!= L$5), 0, MATCH($Q$2,#REF!, 0))=$H25, 1, 0))))), "")</f>
        <v/>
      </c>
      <c r="M25" s="35" t="str" cm="1">
        <f t="array" ref="M25">IFERROR(IF(OR($H25="", M24=""), "", IF($H25=2, SUM(IF(INDEX(_xlfn._xlws.FILTER(#REF!,#REF!= M$5), 0, MATCH($Q$2,#REF!, 0))&gt;1.9, 1, 0)), IF(SUM(IF(INDEX(_xlfn._xlws.FILTER(#REF!,#REF!= M$5), 0, MATCH($Q$2,#REF!, 0))=$H25, 1, 0))=0, "", SUM(IF(INDEX(_xlfn._xlws.FILTER(#REF!,#REF!= M$5), 0, MATCH($Q$2,#REF!, 0))=$H25, 1, 0))))), "")</f>
        <v/>
      </c>
      <c r="Z25" s="60"/>
    </row>
    <row r="26" spans="1:28" x14ac:dyDescent="0.55000000000000004">
      <c r="A26" s="37"/>
      <c r="B26" s="35" t="str" cm="1">
        <f t="array" ref="B26">IF($A26="", "", IF(SUM(IF(INDEX(_xlfn._xlws.FILTER(#REF!, tblPiNAnalysis[Population Group]=B$5), 0, MATCH(_xlfn.CONCAT($Q$2, "%"), #REF!, 0))=$A26, 1, 0))=0, "",SUM(IF(INDEX(_xlfn._xlws.FILTER(#REF!, tblPiNAnalysis[Population Group]=B$5), 0, MATCH(_xlfn.CONCAT($Q$2, "%"), #REF!, 0))=$A26, 1, 0))))</f>
        <v/>
      </c>
      <c r="C26" s="35" t="str" cm="1">
        <f t="array" ref="C26">IFERROR(IF(OR($A26="", C$5=""), "", IF(SUM(IF(INDEX(_xlfn._xlws.FILTER(#REF!, tblPiNAnalysis[Population Group]=C$5), 0, MATCH(_xlfn.CONCAT($Q$2, "%"), #REF!, 0))=$A26, 1, 0))=0, "",SUM(IF(INDEX(_xlfn._xlws.FILTER(#REF!, tblPiNAnalysis[Population Group]=C$5), 0, MATCH(_xlfn.CONCAT($Q$2, "%"), #REF!, 0))=$A26, 1, 0)))), "")</f>
        <v/>
      </c>
      <c r="D26" s="35" t="str" cm="1">
        <f t="array" ref="D26">IFERROR(IF(OR($A26="", D$5=""), "", IF(SUM(IF(INDEX(_xlfn._xlws.FILTER(#REF!, tblPiNAnalysis[Population Group]=D$5), 0, MATCH(_xlfn.CONCAT($Q$2, "%"), #REF!, 0))=$A26, 1, 0))=0, "",SUM(IF(INDEX(_xlfn._xlws.FILTER(#REF!, tblPiNAnalysis[Population Group]=D$5), 0, MATCH(_xlfn.CONCAT($Q$2, "%"), #REF!, 0))=$A26, 1, 0)))), "")</f>
        <v/>
      </c>
      <c r="E26" s="35" t="str" cm="1">
        <f t="array" ref="E26">IFERROR(IF(OR($A26="", E$5=""), "", IF(SUM(IF(INDEX(_xlfn._xlws.FILTER(#REF!, tblPiNAnalysis[Population Group]=E$5), 0, MATCH(_xlfn.CONCAT($Q$2, "%"), #REF!, 0))=$A26, 1, 0))=0, "",SUM(IF(INDEX(_xlfn._xlws.FILTER(#REF!, tblPiNAnalysis[Population Group]=E$5), 0, MATCH(_xlfn.CONCAT($Q$2, "%"), #REF!, 0))=$A26, 1, 0)))), "")</f>
        <v/>
      </c>
      <c r="F26" s="35" t="str" cm="1">
        <f t="array" ref="F26">IFERROR(IF(OR($A26="", F$5=""), "", IF(SUM(IF(INDEX(_xlfn._xlws.FILTER(#REF!, tblPiNAnalysis[CCCM]=F$5), 0, MATCH(_xlfn.CONCAT($Q$2, "%"), #REF!, 0))=$A26, 1, 0))=0, "",SUM(IF(INDEX(_xlfn._xlws.FILTER(#REF!, tblPiNAnalysis[CCCM]=F$5), 0, MATCH(_xlfn.CONCAT($Q$2, "%"), #REF!, 0))=$A26, 1, 0)))), "")</f>
        <v/>
      </c>
      <c r="H26" s="37"/>
      <c r="I26" s="35" t="str" cm="1">
        <f t="array" ref="I26">IF($H26="", "", IF($H26=2, SUM(IF(INDEX(_xlfn._xlws.FILTER(#REF!,#REF!= I$5), 0, MATCH($Q$2,#REF!, 0))&gt;1.9, 1, 0)), IF(SUM(IF(INDEX(_xlfn._xlws.FILTER(#REF!,#REF!= I$5), 0, MATCH($Q$2,#REF!, 0))=$H26, 1, 0))=0, "", SUM(IF(INDEX(_xlfn._xlws.FILTER(#REF!,#REF!= I$5), 0, MATCH($Q$2,#REF!, 0))=$H26, 1, 0)))))</f>
        <v/>
      </c>
      <c r="J26" s="35" t="str" cm="1">
        <f t="array" ref="J26">IFERROR(IF(OR($H26="", J25=""), "", IF($H26=2, SUM(IF(INDEX(_xlfn._xlws.FILTER(#REF!,#REF!= J$5), 0, MATCH($Q$2,#REF!, 0))&gt;1.9, 1, 0)), IF(SUM(IF(INDEX(_xlfn._xlws.FILTER(#REF!,#REF!= J$5), 0, MATCH($Q$2,#REF!, 0))=$H26, 1, 0))=0, "", SUM(IF(INDEX(_xlfn._xlws.FILTER(#REF!,#REF!= J$5), 0, MATCH($Q$2,#REF!, 0))=$H26, 1, 0))))), "")</f>
        <v/>
      </c>
      <c r="K26" s="35" t="str" cm="1">
        <f t="array" ref="K26">IFERROR(IF(OR($H26="", K25=""), "", IF($H26=2, SUM(IF(INDEX(_xlfn._xlws.FILTER(#REF!,#REF!= K$5), 0, MATCH($Q$2,#REF!, 0))&gt;1.9, 1, 0)), IF(SUM(IF(INDEX(_xlfn._xlws.FILTER(#REF!,#REF!= K$5), 0, MATCH($Q$2,#REF!, 0))=$H26, 1, 0))=0, "", SUM(IF(INDEX(_xlfn._xlws.FILTER(#REF!,#REF!= K$5), 0, MATCH($Q$2,#REF!, 0))=$H26, 1, 0))))), "")</f>
        <v/>
      </c>
      <c r="L26" s="35" t="str" cm="1">
        <f t="array" ref="L26">IFERROR(IF(OR($H26="", L25=""), "", IF($H26=2, SUM(IF(INDEX(_xlfn._xlws.FILTER(#REF!,#REF!= L$5), 0, MATCH($Q$2,#REF!, 0))&gt;1.9, 1, 0)), IF(SUM(IF(INDEX(_xlfn._xlws.FILTER(#REF!,#REF!= L$5), 0, MATCH($Q$2,#REF!, 0))=$H26, 1, 0))=0, "", SUM(IF(INDEX(_xlfn._xlws.FILTER(#REF!,#REF!= L$5), 0, MATCH($Q$2,#REF!, 0))=$H26, 1, 0))))), "")</f>
        <v/>
      </c>
      <c r="M26" s="35" t="str" cm="1">
        <f t="array" ref="M26">IFERROR(IF(OR($H26="", M25=""), "", IF($H26=2, SUM(IF(INDEX(_xlfn._xlws.FILTER(#REF!,#REF!= M$5), 0, MATCH($Q$2,#REF!, 0))&gt;1.9, 1, 0)), IF(SUM(IF(INDEX(_xlfn._xlws.FILTER(#REF!,#REF!= M$5), 0, MATCH($Q$2,#REF!, 0))=$H26, 1, 0))=0, "", SUM(IF(INDEX(_xlfn._xlws.FILTER(#REF!,#REF!= M$5), 0, MATCH($Q$2,#REF!, 0))=$H26, 1, 0))))), "")</f>
        <v/>
      </c>
      <c r="Z26" s="60"/>
    </row>
    <row r="27" spans="1:28" x14ac:dyDescent="0.55000000000000004">
      <c r="A27" s="37"/>
      <c r="B27" s="35" t="str" cm="1">
        <f t="array" ref="B27">IF($A27="", "", IF(SUM(IF(INDEX(_xlfn._xlws.FILTER(#REF!, tblPiNAnalysis[Population Group]=B$5), 0, MATCH(_xlfn.CONCAT($Q$2, "%"), #REF!, 0))=$A27, 1, 0))=0, "",SUM(IF(INDEX(_xlfn._xlws.FILTER(#REF!, tblPiNAnalysis[Population Group]=B$5), 0, MATCH(_xlfn.CONCAT($Q$2, "%"), #REF!, 0))=$A27, 1, 0))))</f>
        <v/>
      </c>
      <c r="C27" s="35" t="str" cm="1">
        <f t="array" ref="C27">IFERROR(IF(OR($A27="", C$5=""), "", IF(SUM(IF(INDEX(_xlfn._xlws.FILTER(#REF!, tblPiNAnalysis[Population Group]=C$5), 0, MATCH(_xlfn.CONCAT($Q$2, "%"), #REF!, 0))=$A27, 1, 0))=0, "",SUM(IF(INDEX(_xlfn._xlws.FILTER(#REF!, tblPiNAnalysis[Population Group]=C$5), 0, MATCH(_xlfn.CONCAT($Q$2, "%"), #REF!, 0))=$A27, 1, 0)))), "")</f>
        <v/>
      </c>
      <c r="D27" s="35" t="str" cm="1">
        <f t="array" ref="D27">IFERROR(IF(OR($A27="", D$5=""), "", IF(SUM(IF(INDEX(_xlfn._xlws.FILTER(#REF!, tblPiNAnalysis[Population Group]=D$5), 0, MATCH(_xlfn.CONCAT($Q$2, "%"), #REF!, 0))=$A27, 1, 0))=0, "",SUM(IF(INDEX(_xlfn._xlws.FILTER(#REF!, tblPiNAnalysis[Population Group]=D$5), 0, MATCH(_xlfn.CONCAT($Q$2, "%"), #REF!, 0))=$A27, 1, 0)))), "")</f>
        <v/>
      </c>
      <c r="E27" s="35" t="str" cm="1">
        <f t="array" ref="E27">IFERROR(IF(OR($A27="", E$5=""), "", IF(SUM(IF(INDEX(_xlfn._xlws.FILTER(#REF!, tblPiNAnalysis[Population Group]=E$5), 0, MATCH(_xlfn.CONCAT($Q$2, "%"), #REF!, 0))=$A27, 1, 0))=0, "",SUM(IF(INDEX(_xlfn._xlws.FILTER(#REF!, tblPiNAnalysis[Population Group]=E$5), 0, MATCH(_xlfn.CONCAT($Q$2, "%"), #REF!, 0))=$A27, 1, 0)))), "")</f>
        <v/>
      </c>
      <c r="F27" s="35" t="str" cm="1">
        <f t="array" ref="F27">IFERROR(IF(OR($A27="", F$5=""), "", IF(SUM(IF(INDEX(_xlfn._xlws.FILTER(#REF!, tblPiNAnalysis[CCCM]=F$5), 0, MATCH(_xlfn.CONCAT($Q$2, "%"), #REF!, 0))=$A27, 1, 0))=0, "",SUM(IF(INDEX(_xlfn._xlws.FILTER(#REF!, tblPiNAnalysis[CCCM]=F$5), 0, MATCH(_xlfn.CONCAT($Q$2, "%"), #REF!, 0))=$A27, 1, 0)))), "")</f>
        <v/>
      </c>
      <c r="H27" s="37"/>
      <c r="I27" s="35" t="str" cm="1">
        <f t="array" ref="I27">IF($H27="", "", IF($H27=2, SUM(IF(INDEX(_xlfn._xlws.FILTER(#REF!,#REF!= I$5), 0, MATCH($Q$2,#REF!, 0))&gt;1.9, 1, 0)), IF(SUM(IF(INDEX(_xlfn._xlws.FILTER(#REF!,#REF!= I$5), 0, MATCH($Q$2,#REF!, 0))=$H27, 1, 0))=0, "", SUM(IF(INDEX(_xlfn._xlws.FILTER(#REF!,#REF!= I$5), 0, MATCH($Q$2,#REF!, 0))=$H27, 1, 0)))))</f>
        <v/>
      </c>
      <c r="J27" s="35" t="str" cm="1">
        <f t="array" ref="J27">IFERROR(IF(OR($H27="", J26=""), "", IF($H27=2, SUM(IF(INDEX(_xlfn._xlws.FILTER(#REF!,#REF!= J$5), 0, MATCH($Q$2,#REF!, 0))&gt;1.9, 1, 0)), IF(SUM(IF(INDEX(_xlfn._xlws.FILTER(#REF!,#REF!= J$5), 0, MATCH($Q$2,#REF!, 0))=$H27, 1, 0))=0, "", SUM(IF(INDEX(_xlfn._xlws.FILTER(#REF!,#REF!= J$5), 0, MATCH($Q$2,#REF!, 0))=$H27, 1, 0))))), "")</f>
        <v/>
      </c>
      <c r="K27" s="35" t="str" cm="1">
        <f t="array" ref="K27">IFERROR(IF(OR($H27="", K26=""), "", IF($H27=2, SUM(IF(INDEX(_xlfn._xlws.FILTER(#REF!,#REF!= K$5), 0, MATCH($Q$2,#REF!, 0))&gt;1.9, 1, 0)), IF(SUM(IF(INDEX(_xlfn._xlws.FILTER(#REF!,#REF!= K$5), 0, MATCH($Q$2,#REF!, 0))=$H27, 1, 0))=0, "", SUM(IF(INDEX(_xlfn._xlws.FILTER(#REF!,#REF!= K$5), 0, MATCH($Q$2,#REF!, 0))=$H27, 1, 0))))), "")</f>
        <v/>
      </c>
      <c r="L27" s="35" t="str" cm="1">
        <f t="array" ref="L27">IFERROR(IF(OR($H27="", L26=""), "", IF($H27=2, SUM(IF(INDEX(_xlfn._xlws.FILTER(#REF!,#REF!= L$5), 0, MATCH($Q$2,#REF!, 0))&gt;1.9, 1, 0)), IF(SUM(IF(INDEX(_xlfn._xlws.FILTER(#REF!,#REF!= L$5), 0, MATCH($Q$2,#REF!, 0))=$H27, 1, 0))=0, "", SUM(IF(INDEX(_xlfn._xlws.FILTER(#REF!,#REF!= L$5), 0, MATCH($Q$2,#REF!, 0))=$H27, 1, 0))))), "")</f>
        <v/>
      </c>
      <c r="M27" s="35" t="str" cm="1">
        <f t="array" ref="M27">IFERROR(IF(OR($H27="", M26=""), "", IF($H27=2, SUM(IF(INDEX(_xlfn._xlws.FILTER(#REF!,#REF!= M$5), 0, MATCH($Q$2,#REF!, 0))&gt;1.9, 1, 0)), IF(SUM(IF(INDEX(_xlfn._xlws.FILTER(#REF!,#REF!= M$5), 0, MATCH($Q$2,#REF!, 0))=$H27, 1, 0))=0, "", SUM(IF(INDEX(_xlfn._xlws.FILTER(#REF!,#REF!= M$5), 0, MATCH($Q$2,#REF!, 0))=$H27, 1, 0))))), "")</f>
        <v/>
      </c>
      <c r="Z27" s="60"/>
    </row>
    <row r="28" spans="1:28" x14ac:dyDescent="0.55000000000000004">
      <c r="A28" s="37"/>
      <c r="B28" s="35" t="str" cm="1">
        <f t="array" ref="B28">IF($A28="", "", IF(SUM(IF(INDEX(_xlfn._xlws.FILTER(#REF!, tblPiNAnalysis[Population Group]=B$5), 0, MATCH(_xlfn.CONCAT($Q$2, "%"), #REF!, 0))=$A28, 1, 0))=0, "",SUM(IF(INDEX(_xlfn._xlws.FILTER(#REF!, tblPiNAnalysis[Population Group]=B$5), 0, MATCH(_xlfn.CONCAT($Q$2, "%"), #REF!, 0))=$A28, 1, 0))))</f>
        <v/>
      </c>
      <c r="C28" s="35" t="str" cm="1">
        <f t="array" ref="C28">IFERROR(IF(OR($A28="", C$5=""), "", IF(SUM(IF(INDEX(_xlfn._xlws.FILTER(#REF!, tblPiNAnalysis[Population Group]=C$5), 0, MATCH(_xlfn.CONCAT($Q$2, "%"), #REF!, 0))=$A28, 1, 0))=0, "",SUM(IF(INDEX(_xlfn._xlws.FILTER(#REF!, tblPiNAnalysis[Population Group]=C$5), 0, MATCH(_xlfn.CONCAT($Q$2, "%"), #REF!, 0))=$A28, 1, 0)))), "")</f>
        <v/>
      </c>
      <c r="D28" s="35" t="str" cm="1">
        <f t="array" ref="D28">IFERROR(IF(OR($A28="", D$5=""), "", IF(SUM(IF(INDEX(_xlfn._xlws.FILTER(#REF!, tblPiNAnalysis[Population Group]=D$5), 0, MATCH(_xlfn.CONCAT($Q$2, "%"), #REF!, 0))=$A28, 1, 0))=0, "",SUM(IF(INDEX(_xlfn._xlws.FILTER(#REF!, tblPiNAnalysis[Population Group]=D$5), 0, MATCH(_xlfn.CONCAT($Q$2, "%"), #REF!, 0))=$A28, 1, 0)))), "")</f>
        <v/>
      </c>
      <c r="E28" s="35" t="str" cm="1">
        <f t="array" ref="E28">IFERROR(IF(OR($A28="", E$5=""), "", IF(SUM(IF(INDEX(_xlfn._xlws.FILTER(#REF!, tblPiNAnalysis[Population Group]=E$5), 0, MATCH(_xlfn.CONCAT($Q$2, "%"), #REF!, 0))=$A28, 1, 0))=0, "",SUM(IF(INDEX(_xlfn._xlws.FILTER(#REF!, tblPiNAnalysis[Population Group]=E$5), 0, MATCH(_xlfn.CONCAT($Q$2, "%"), #REF!, 0))=$A28, 1, 0)))), "")</f>
        <v/>
      </c>
      <c r="F28" s="35" t="str" cm="1">
        <f t="array" ref="F28">IFERROR(IF(OR($A28="", F$5=""), "", IF(SUM(IF(INDEX(_xlfn._xlws.FILTER(#REF!, tblPiNAnalysis[CCCM]=F$5), 0, MATCH(_xlfn.CONCAT($Q$2, "%"), #REF!, 0))=$A28, 1, 0))=0, "",SUM(IF(INDEX(_xlfn._xlws.FILTER(#REF!, tblPiNAnalysis[CCCM]=F$5), 0, MATCH(_xlfn.CONCAT($Q$2, "%"), #REF!, 0))=$A28, 1, 0)))), "")</f>
        <v/>
      </c>
      <c r="H28" s="37"/>
      <c r="I28" s="35" t="str" cm="1">
        <f t="array" ref="I28">IF($H28="", "", IF($H28=2, SUM(IF(INDEX(_xlfn._xlws.FILTER(#REF!,#REF!= I$5), 0, MATCH($Q$2,#REF!, 0))&gt;1.9, 1, 0)), IF(SUM(IF(INDEX(_xlfn._xlws.FILTER(#REF!,#REF!= I$5), 0, MATCH($Q$2,#REF!, 0))=$H28, 1, 0))=0, "", SUM(IF(INDEX(_xlfn._xlws.FILTER(#REF!,#REF!= I$5), 0, MATCH($Q$2,#REF!, 0))=$H28, 1, 0)))))</f>
        <v/>
      </c>
      <c r="J28" s="35" t="str" cm="1">
        <f t="array" ref="J28">IFERROR(IF(OR($H28="", J27=""), "", IF($H28=2, SUM(IF(INDEX(_xlfn._xlws.FILTER(#REF!,#REF!= J$5), 0, MATCH($Q$2,#REF!, 0))&gt;1.9, 1, 0)), IF(SUM(IF(INDEX(_xlfn._xlws.FILTER(#REF!,#REF!= J$5), 0, MATCH($Q$2,#REF!, 0))=$H28, 1, 0))=0, "", SUM(IF(INDEX(_xlfn._xlws.FILTER(#REF!,#REF!= J$5), 0, MATCH($Q$2,#REF!, 0))=$H28, 1, 0))))), "")</f>
        <v/>
      </c>
      <c r="K28" s="35" t="str" cm="1">
        <f t="array" ref="K28">IFERROR(IF(OR($H28="", K27=""), "", IF($H28=2, SUM(IF(INDEX(_xlfn._xlws.FILTER(#REF!,#REF!= K$5), 0, MATCH($Q$2,#REF!, 0))&gt;1.9, 1, 0)), IF(SUM(IF(INDEX(_xlfn._xlws.FILTER(#REF!,#REF!= K$5), 0, MATCH($Q$2,#REF!, 0))=$H28, 1, 0))=0, "", SUM(IF(INDEX(_xlfn._xlws.FILTER(#REF!,#REF!= K$5), 0, MATCH($Q$2,#REF!, 0))=$H28, 1, 0))))), "")</f>
        <v/>
      </c>
      <c r="L28" s="35" t="str" cm="1">
        <f t="array" ref="L28">IFERROR(IF(OR($H28="", L27=""), "", IF($H28=2, SUM(IF(INDEX(_xlfn._xlws.FILTER(#REF!,#REF!= L$5), 0, MATCH($Q$2,#REF!, 0))&gt;1.9, 1, 0)), IF(SUM(IF(INDEX(_xlfn._xlws.FILTER(#REF!,#REF!= L$5), 0, MATCH($Q$2,#REF!, 0))=$H28, 1, 0))=0, "", SUM(IF(INDEX(_xlfn._xlws.FILTER(#REF!,#REF!= L$5), 0, MATCH($Q$2,#REF!, 0))=$H28, 1, 0))))), "")</f>
        <v/>
      </c>
      <c r="M28" s="35" t="str" cm="1">
        <f t="array" ref="M28">IFERROR(IF(OR($H28="", M27=""), "", IF($H28=2, SUM(IF(INDEX(_xlfn._xlws.FILTER(#REF!,#REF!= M$5), 0, MATCH($Q$2,#REF!, 0))&gt;1.9, 1, 0)), IF(SUM(IF(INDEX(_xlfn._xlws.FILTER(#REF!,#REF!= M$5), 0, MATCH($Q$2,#REF!, 0))=$H28, 1, 0))=0, "", SUM(IF(INDEX(_xlfn._xlws.FILTER(#REF!,#REF!= M$5), 0, MATCH($Q$2,#REF!, 0))=$H28, 1, 0))))), "")</f>
        <v/>
      </c>
      <c r="Q28" t="s">
        <v>24</v>
      </c>
      <c r="Z28" s="60"/>
      <c r="AB28" t="s">
        <v>24</v>
      </c>
    </row>
    <row r="29" spans="1:28" x14ac:dyDescent="0.55000000000000004">
      <c r="A29" s="37"/>
      <c r="B29" s="35" t="str" cm="1">
        <f t="array" ref="B29">IF($A29="", "", IF(SUM(IF(INDEX(_xlfn._xlws.FILTER(#REF!, tblPiNAnalysis[Population Group]=B$5), 0, MATCH(_xlfn.CONCAT($Q$2, "%"), #REF!, 0))=$A29, 1, 0))=0, "",SUM(IF(INDEX(_xlfn._xlws.FILTER(#REF!, tblPiNAnalysis[Population Group]=B$5), 0, MATCH(_xlfn.CONCAT($Q$2, "%"), #REF!, 0))=$A29, 1, 0))))</f>
        <v/>
      </c>
      <c r="C29" s="35" t="str" cm="1">
        <f t="array" ref="C29">IFERROR(IF(OR($A29="", C$5=""), "", IF(SUM(IF(INDEX(_xlfn._xlws.FILTER(#REF!, tblPiNAnalysis[Population Group]=C$5), 0, MATCH(_xlfn.CONCAT($Q$2, "%"), #REF!, 0))=$A29, 1, 0))=0, "",SUM(IF(INDEX(_xlfn._xlws.FILTER(#REF!, tblPiNAnalysis[Population Group]=C$5), 0, MATCH(_xlfn.CONCAT($Q$2, "%"), #REF!, 0))=$A29, 1, 0)))), "")</f>
        <v/>
      </c>
      <c r="D29" s="35" t="str" cm="1">
        <f t="array" ref="D29">IFERROR(IF(OR($A29="", D$5=""), "", IF(SUM(IF(INDEX(_xlfn._xlws.FILTER(#REF!, tblPiNAnalysis[Population Group]=D$5), 0, MATCH(_xlfn.CONCAT($Q$2, "%"), #REF!, 0))=$A29, 1, 0))=0, "",SUM(IF(INDEX(_xlfn._xlws.FILTER(#REF!, tblPiNAnalysis[Population Group]=D$5), 0, MATCH(_xlfn.CONCAT($Q$2, "%"), #REF!, 0))=$A29, 1, 0)))), "")</f>
        <v/>
      </c>
      <c r="E29" s="35" t="str" cm="1">
        <f t="array" ref="E29">IFERROR(IF(OR($A29="", E$5=""), "", IF(SUM(IF(INDEX(_xlfn._xlws.FILTER(#REF!, tblPiNAnalysis[Population Group]=E$5), 0, MATCH(_xlfn.CONCAT($Q$2, "%"), #REF!, 0))=$A29, 1, 0))=0, "",SUM(IF(INDEX(_xlfn._xlws.FILTER(#REF!, tblPiNAnalysis[Population Group]=E$5), 0, MATCH(_xlfn.CONCAT($Q$2, "%"), #REF!, 0))=$A29, 1, 0)))), "")</f>
        <v/>
      </c>
      <c r="F29" s="35" t="str" cm="1">
        <f t="array" ref="F29">IFERROR(IF(OR($A29="", F$5=""), "", IF(SUM(IF(INDEX(_xlfn._xlws.FILTER(#REF!, tblPiNAnalysis[CCCM]=F$5), 0, MATCH(_xlfn.CONCAT($Q$2, "%"), #REF!, 0))=$A29, 1, 0))=0, "",SUM(IF(INDEX(_xlfn._xlws.FILTER(#REF!, tblPiNAnalysis[CCCM]=F$5), 0, MATCH(_xlfn.CONCAT($Q$2, "%"), #REF!, 0))=$A29, 1, 0)))), "")</f>
        <v/>
      </c>
      <c r="H29" s="37"/>
      <c r="I29" s="35" t="str" cm="1">
        <f t="array" ref="I29">IF($H29="", "", IF($H29=2, SUM(IF(INDEX(_xlfn._xlws.FILTER(#REF!,#REF!= I$5), 0, MATCH($Q$2,#REF!, 0))&gt;1.9, 1, 0)), IF(SUM(IF(INDEX(_xlfn._xlws.FILTER(#REF!,#REF!= I$5), 0, MATCH($Q$2,#REF!, 0))=$H29, 1, 0))=0, "", SUM(IF(INDEX(_xlfn._xlws.FILTER(#REF!,#REF!= I$5), 0, MATCH($Q$2,#REF!, 0))=$H29, 1, 0)))))</f>
        <v/>
      </c>
      <c r="J29" s="35" t="str" cm="1">
        <f t="array" ref="J29">IFERROR(IF(OR($H29="", J28=""), "", IF($H29=2, SUM(IF(INDEX(_xlfn._xlws.FILTER(#REF!,#REF!= J$5), 0, MATCH($Q$2,#REF!, 0))&gt;1.9, 1, 0)), IF(SUM(IF(INDEX(_xlfn._xlws.FILTER(#REF!,#REF!= J$5), 0, MATCH($Q$2,#REF!, 0))=$H29, 1, 0))=0, "", SUM(IF(INDEX(_xlfn._xlws.FILTER(#REF!,#REF!= J$5), 0, MATCH($Q$2,#REF!, 0))=$H29, 1, 0))))), "")</f>
        <v/>
      </c>
      <c r="K29" s="35" t="str" cm="1">
        <f t="array" ref="K29">IFERROR(IF(OR($H29="", K28=""), "", IF($H29=2, SUM(IF(INDEX(_xlfn._xlws.FILTER(#REF!,#REF!= K$5), 0, MATCH($Q$2,#REF!, 0))&gt;1.9, 1, 0)), IF(SUM(IF(INDEX(_xlfn._xlws.FILTER(#REF!,#REF!= K$5), 0, MATCH($Q$2,#REF!, 0))=$H29, 1, 0))=0, "", SUM(IF(INDEX(_xlfn._xlws.FILTER(#REF!,#REF!= K$5), 0, MATCH($Q$2,#REF!, 0))=$H29, 1, 0))))), "")</f>
        <v/>
      </c>
      <c r="L29" s="35" t="str" cm="1">
        <f t="array" ref="L29">IFERROR(IF(OR($H29="", L28=""), "", IF($H29=2, SUM(IF(INDEX(_xlfn._xlws.FILTER(#REF!,#REF!= L$5), 0, MATCH($Q$2,#REF!, 0))&gt;1.9, 1, 0)), IF(SUM(IF(INDEX(_xlfn._xlws.FILTER(#REF!,#REF!= L$5), 0, MATCH($Q$2,#REF!, 0))=$H29, 1, 0))=0, "", SUM(IF(INDEX(_xlfn._xlws.FILTER(#REF!,#REF!= L$5), 0, MATCH($Q$2,#REF!, 0))=$H29, 1, 0))))), "")</f>
        <v/>
      </c>
      <c r="M29" s="35" t="str" cm="1">
        <f t="array" ref="M29">IFERROR(IF(OR($H29="", M28=""), "", IF($H29=2, SUM(IF(INDEX(_xlfn._xlws.FILTER(#REF!,#REF!= M$5), 0, MATCH($Q$2,#REF!, 0))&gt;1.9, 1, 0)), IF(SUM(IF(INDEX(_xlfn._xlws.FILTER(#REF!,#REF!= M$5), 0, MATCH($Q$2,#REF!, 0))=$H29, 1, 0))=0, "", SUM(IF(INDEX(_xlfn._xlws.FILTER(#REF!,#REF!= M$5), 0, MATCH($Q$2,#REF!, 0))=$H29, 1, 0))))), "")</f>
        <v/>
      </c>
      <c r="Q29" s="40" t="s">
        <v>25</v>
      </c>
      <c r="Z29" s="60"/>
      <c r="AB29" s="40" t="s">
        <v>25</v>
      </c>
    </row>
    <row r="30" spans="1:28" x14ac:dyDescent="0.55000000000000004">
      <c r="A30" s="37"/>
      <c r="B30" s="35" t="str" cm="1">
        <f t="array" ref="B30">IF($A30="", "", IF(SUM(IF(INDEX(_xlfn._xlws.FILTER(#REF!, tblPiNAnalysis[Population Group]=B$5), 0, MATCH(_xlfn.CONCAT($Q$2, "%"), #REF!, 0))=$A30, 1, 0))=0, "",SUM(IF(INDEX(_xlfn._xlws.FILTER(#REF!, tblPiNAnalysis[Population Group]=B$5), 0, MATCH(_xlfn.CONCAT($Q$2, "%"), #REF!, 0))=$A30, 1, 0))))</f>
        <v/>
      </c>
      <c r="C30" s="35" t="str" cm="1">
        <f t="array" ref="C30">IFERROR(IF(OR($A30="", C$5=""), "", IF(SUM(IF(INDEX(_xlfn._xlws.FILTER(#REF!, tblPiNAnalysis[Population Group]=C$5), 0, MATCH(_xlfn.CONCAT($Q$2, "%"), #REF!, 0))=$A30, 1, 0))=0, "",SUM(IF(INDEX(_xlfn._xlws.FILTER(#REF!, tblPiNAnalysis[Population Group]=C$5), 0, MATCH(_xlfn.CONCAT($Q$2, "%"), #REF!, 0))=$A30, 1, 0)))), "")</f>
        <v/>
      </c>
      <c r="D30" s="35" t="str" cm="1">
        <f t="array" ref="D30">IFERROR(IF(OR($A30="", D$5=""), "", IF(SUM(IF(INDEX(_xlfn._xlws.FILTER(#REF!, tblPiNAnalysis[Population Group]=D$5), 0, MATCH(_xlfn.CONCAT($Q$2, "%"), #REF!, 0))=$A30, 1, 0))=0, "",SUM(IF(INDEX(_xlfn._xlws.FILTER(#REF!, tblPiNAnalysis[Population Group]=D$5), 0, MATCH(_xlfn.CONCAT($Q$2, "%"), #REF!, 0))=$A30, 1, 0)))), "")</f>
        <v/>
      </c>
      <c r="E30" s="35" t="str" cm="1">
        <f t="array" ref="E30">IFERROR(IF(OR($A30="", E$5=""), "", IF(SUM(IF(INDEX(_xlfn._xlws.FILTER(#REF!, tblPiNAnalysis[Population Group]=E$5), 0, MATCH(_xlfn.CONCAT($Q$2, "%"), #REF!, 0))=$A30, 1, 0))=0, "",SUM(IF(INDEX(_xlfn._xlws.FILTER(#REF!, tblPiNAnalysis[Population Group]=E$5), 0, MATCH(_xlfn.CONCAT($Q$2, "%"), #REF!, 0))=$A30, 1, 0)))), "")</f>
        <v/>
      </c>
      <c r="F30" s="35" t="str" cm="1">
        <f t="array" ref="F30">IFERROR(IF(OR($A30="", F$5=""), "", IF(SUM(IF(INDEX(_xlfn._xlws.FILTER(#REF!, tblPiNAnalysis[CCCM]=F$5), 0, MATCH(_xlfn.CONCAT($Q$2, "%"), #REF!, 0))=$A30, 1, 0))=0, "",SUM(IF(INDEX(_xlfn._xlws.FILTER(#REF!, tblPiNAnalysis[CCCM]=F$5), 0, MATCH(_xlfn.CONCAT($Q$2, "%"), #REF!, 0))=$A30, 1, 0)))), "")</f>
        <v/>
      </c>
      <c r="H30" s="37"/>
      <c r="I30" s="35" t="str" cm="1">
        <f t="array" ref="I30">IF($H30="", "", IF($H30=2, SUM(IF(INDEX(_xlfn._xlws.FILTER(#REF!,#REF!= I$5), 0, MATCH($Q$2,#REF!, 0))&gt;1.9, 1, 0)), IF(SUM(IF(INDEX(_xlfn._xlws.FILTER(#REF!,#REF!= I$5), 0, MATCH($Q$2,#REF!, 0))=$H30, 1, 0))=0, "", SUM(IF(INDEX(_xlfn._xlws.FILTER(#REF!,#REF!= I$5), 0, MATCH($Q$2,#REF!, 0))=$H30, 1, 0)))))</f>
        <v/>
      </c>
      <c r="J30" s="35" t="str" cm="1">
        <f t="array" ref="J30">IFERROR(IF(OR($H30="", J29=""), "", IF($H30=2, SUM(IF(INDEX(_xlfn._xlws.FILTER(#REF!,#REF!= J$5), 0, MATCH($Q$2,#REF!, 0))&gt;1.9, 1, 0)), IF(SUM(IF(INDEX(_xlfn._xlws.FILTER(#REF!,#REF!= J$5), 0, MATCH($Q$2,#REF!, 0))=$H30, 1, 0))=0, "", SUM(IF(INDEX(_xlfn._xlws.FILTER(#REF!,#REF!= J$5), 0, MATCH($Q$2,#REF!, 0))=$H30, 1, 0))))), "")</f>
        <v/>
      </c>
      <c r="K30" s="35" t="str" cm="1">
        <f t="array" ref="K30">IFERROR(IF(OR($H30="", K29=""), "", IF($H30=2, SUM(IF(INDEX(_xlfn._xlws.FILTER(#REF!,#REF!= K$5), 0, MATCH($Q$2,#REF!, 0))&gt;1.9, 1, 0)), IF(SUM(IF(INDEX(_xlfn._xlws.FILTER(#REF!,#REF!= K$5), 0, MATCH($Q$2,#REF!, 0))=$H30, 1, 0))=0, "", SUM(IF(INDEX(_xlfn._xlws.FILTER(#REF!,#REF!= K$5), 0, MATCH($Q$2,#REF!, 0))=$H30, 1, 0))))), "")</f>
        <v/>
      </c>
      <c r="L30" s="35" t="str" cm="1">
        <f t="array" ref="L30">IFERROR(IF(OR($H30="", L29=""), "", IF($H30=2, SUM(IF(INDEX(_xlfn._xlws.FILTER(#REF!,#REF!= L$5), 0, MATCH($Q$2,#REF!, 0))&gt;1.9, 1, 0)), IF(SUM(IF(INDEX(_xlfn._xlws.FILTER(#REF!,#REF!= L$5), 0, MATCH($Q$2,#REF!, 0))=$H30, 1, 0))=0, "", SUM(IF(INDEX(_xlfn._xlws.FILTER(#REF!,#REF!= L$5), 0, MATCH($Q$2,#REF!, 0))=$H30, 1, 0))))), "")</f>
        <v/>
      </c>
      <c r="M30" s="35" t="str" cm="1">
        <f t="array" ref="M30">IFERROR(IF(OR($H30="", M29=""), "", IF($H30=2, SUM(IF(INDEX(_xlfn._xlws.FILTER(#REF!,#REF!= M$5), 0, MATCH($Q$2,#REF!, 0))&gt;1.9, 1, 0)), IF(SUM(IF(INDEX(_xlfn._xlws.FILTER(#REF!,#REF!= M$5), 0, MATCH($Q$2,#REF!, 0))=$H30, 1, 0))=0, "", SUM(IF(INDEX(_xlfn._xlws.FILTER(#REF!,#REF!= M$5), 0, MATCH($Q$2,#REF!, 0))=$H30, 1, 0))))), "")</f>
        <v/>
      </c>
      <c r="Q30" t="e">
        <f>_xlfn.CONCAT("- ", MAXA(B$6:B$77)," units ", IF(OR(C$5="", C$5="NA"), "", _xlfn.CONCAT("of ", B$5, " population group ")), "have a % PiN at of ", INDEX(A$6:A$77, MATCH(MAXA(B$6:B$77), B$6:B$77, 0))*100, "%")</f>
        <v>#REF!</v>
      </c>
      <c r="Z30" s="60"/>
      <c r="AB30" t="e" cm="1">
        <f t="array" ref="AB30">_xlfn.CONCAT("- ", IF(IFERROR(MAXA(_xlfn._xlws.FILTER(I$6:I$77, H$6:H$77&gt;0)), 0) = 0, "", _xlfn.CONCAT(MAXA(_xlfn._xlws.FILTER(I$6:I$77, H$6:H$77&gt;0)), " units have ", INDEX(H$6:H$77, MATCH(MAXA(_xlfn._xlws.FILTER(I$6:I$77, H$6:H$77&gt;0)), I$6:I$77, 0))*100, "% PiN increase")), IF(OR(IFERROR(MAXA(_xlfn._xlws.FILTER(I$6:I$77, H$6:H$77&gt;0)), 0) = 0,IFERROR(MAXA(_xlfn._xlws.FILTER(I$6:I$77, H$6:H$77&lt;0)), 0) = 0), "", " and "), IF(IFERROR(MAXA(_xlfn._xlws.FILTER(I$6:I$77, H$6:H$77&lt;0)), 0)=0, "", _xlfn.CONCAT(MAXA(_xlfn._xlws.FILTER(I$6:I$77, H$6:H$77&lt;0)), " units have ", INDEX(H$6:H$77, MATCH(MAXA(_xlfn._xlws.FILTER(I$6:I$77, H$6:H$77&lt;0)), I$6:I$77, 0))*-100, "% PiN decrease")), " from ",  $Q$2, IF(OR(I$5="", I$5="NA"), "", _xlfn.CONCAT(" for the ", I$5," population group")))</f>
        <v>#REF!</v>
      </c>
    </row>
    <row r="31" spans="1:28" x14ac:dyDescent="0.55000000000000004">
      <c r="A31" s="37"/>
      <c r="B31" s="35" t="str" cm="1">
        <f t="array" ref="B31">IF($A31="", "", IF(SUM(IF(INDEX(_xlfn._xlws.FILTER(#REF!, tblPiNAnalysis[Population Group]=B$5), 0, MATCH(_xlfn.CONCAT($Q$2, "%"), #REF!, 0))=$A31, 1, 0))=0, "",SUM(IF(INDEX(_xlfn._xlws.FILTER(#REF!, tblPiNAnalysis[Population Group]=B$5), 0, MATCH(_xlfn.CONCAT($Q$2, "%"), #REF!, 0))=$A31, 1, 0))))</f>
        <v/>
      </c>
      <c r="C31" s="35" t="str" cm="1">
        <f t="array" ref="C31">IFERROR(IF(OR($A31="", C$5=""), "", IF(SUM(IF(INDEX(_xlfn._xlws.FILTER(#REF!, tblPiNAnalysis[Population Group]=C$5), 0, MATCH(_xlfn.CONCAT($Q$2, "%"), #REF!, 0))=$A31, 1, 0))=0, "",SUM(IF(INDEX(_xlfn._xlws.FILTER(#REF!, tblPiNAnalysis[Population Group]=C$5), 0, MATCH(_xlfn.CONCAT($Q$2, "%"), #REF!, 0))=$A31, 1, 0)))), "")</f>
        <v/>
      </c>
      <c r="D31" s="35" t="str" cm="1">
        <f t="array" ref="D31">IFERROR(IF(OR($A31="", D$5=""), "", IF(SUM(IF(INDEX(_xlfn._xlws.FILTER(#REF!, tblPiNAnalysis[Population Group]=D$5), 0, MATCH(_xlfn.CONCAT($Q$2, "%"), #REF!, 0))=$A31, 1, 0))=0, "",SUM(IF(INDEX(_xlfn._xlws.FILTER(#REF!, tblPiNAnalysis[Population Group]=D$5), 0, MATCH(_xlfn.CONCAT($Q$2, "%"), #REF!, 0))=$A31, 1, 0)))), "")</f>
        <v/>
      </c>
      <c r="E31" s="35" t="str" cm="1">
        <f t="array" ref="E31">IFERROR(IF(OR($A31="", E$5=""), "", IF(SUM(IF(INDEX(_xlfn._xlws.FILTER(#REF!, tblPiNAnalysis[Population Group]=E$5), 0, MATCH(_xlfn.CONCAT($Q$2, "%"), #REF!, 0))=$A31, 1, 0))=0, "",SUM(IF(INDEX(_xlfn._xlws.FILTER(#REF!, tblPiNAnalysis[Population Group]=E$5), 0, MATCH(_xlfn.CONCAT($Q$2, "%"), #REF!, 0))=$A31, 1, 0)))), "")</f>
        <v/>
      </c>
      <c r="F31" s="35" t="str" cm="1">
        <f t="array" ref="F31">IFERROR(IF(OR($A31="", F$5=""), "", IF(SUM(IF(INDEX(_xlfn._xlws.FILTER(#REF!, tblPiNAnalysis[CCCM]=F$5), 0, MATCH(_xlfn.CONCAT($Q$2, "%"), #REF!, 0))=$A31, 1, 0))=0, "",SUM(IF(INDEX(_xlfn._xlws.FILTER(#REF!, tblPiNAnalysis[CCCM]=F$5), 0, MATCH(_xlfn.CONCAT($Q$2, "%"), #REF!, 0))=$A31, 1, 0)))), "")</f>
        <v/>
      </c>
      <c r="H31" s="37"/>
      <c r="I31" s="35" t="str" cm="1">
        <f t="array" ref="I31">IF($H31="", "", IF($H31=2, SUM(IF(INDEX(_xlfn._xlws.FILTER(#REF!,#REF!= I$5), 0, MATCH($Q$2,#REF!, 0))&gt;1.9, 1, 0)), IF(SUM(IF(INDEX(_xlfn._xlws.FILTER(#REF!,#REF!= I$5), 0, MATCH($Q$2,#REF!, 0))=$H31, 1, 0))=0, "", SUM(IF(INDEX(_xlfn._xlws.FILTER(#REF!,#REF!= I$5), 0, MATCH($Q$2,#REF!, 0))=$H31, 1, 0)))))</f>
        <v/>
      </c>
      <c r="J31" s="35" t="str" cm="1">
        <f t="array" ref="J31">IFERROR(IF(OR($H31="", J30=""), "", IF($H31=2, SUM(IF(INDEX(_xlfn._xlws.FILTER(#REF!,#REF!= J$5), 0, MATCH($Q$2,#REF!, 0))&gt;1.9, 1, 0)), IF(SUM(IF(INDEX(_xlfn._xlws.FILTER(#REF!,#REF!= J$5), 0, MATCH($Q$2,#REF!, 0))=$H31, 1, 0))=0, "", SUM(IF(INDEX(_xlfn._xlws.FILTER(#REF!,#REF!= J$5), 0, MATCH($Q$2,#REF!, 0))=$H31, 1, 0))))), "")</f>
        <v/>
      </c>
      <c r="K31" s="35" t="str" cm="1">
        <f t="array" ref="K31">IFERROR(IF(OR($H31="", K30=""), "", IF($H31=2, SUM(IF(INDEX(_xlfn._xlws.FILTER(#REF!,#REF!= K$5), 0, MATCH($Q$2,#REF!, 0))&gt;1.9, 1, 0)), IF(SUM(IF(INDEX(_xlfn._xlws.FILTER(#REF!,#REF!= K$5), 0, MATCH($Q$2,#REF!, 0))=$H31, 1, 0))=0, "", SUM(IF(INDEX(_xlfn._xlws.FILTER(#REF!,#REF!= K$5), 0, MATCH($Q$2,#REF!, 0))=$H31, 1, 0))))), "")</f>
        <v/>
      </c>
      <c r="L31" s="35" t="str" cm="1">
        <f t="array" ref="L31">IFERROR(IF(OR($H31="", L30=""), "", IF($H31=2, SUM(IF(INDEX(_xlfn._xlws.FILTER(#REF!,#REF!= L$5), 0, MATCH($Q$2,#REF!, 0))&gt;1.9, 1, 0)), IF(SUM(IF(INDEX(_xlfn._xlws.FILTER(#REF!,#REF!= L$5), 0, MATCH($Q$2,#REF!, 0))=$H31, 1, 0))=0, "", SUM(IF(INDEX(_xlfn._xlws.FILTER(#REF!,#REF!= L$5), 0, MATCH($Q$2,#REF!, 0))=$H31, 1, 0))))), "")</f>
        <v/>
      </c>
      <c r="M31" s="35" t="str" cm="1">
        <f t="array" ref="M31">IFERROR(IF(OR($H31="", M30=""), "", IF($H31=2, SUM(IF(INDEX(_xlfn._xlws.FILTER(#REF!,#REF!= M$5), 0, MATCH($Q$2,#REF!, 0))&gt;1.9, 1, 0)), IF(SUM(IF(INDEX(_xlfn._xlws.FILTER(#REF!,#REF!= M$5), 0, MATCH($Q$2,#REF!, 0))=$H31, 1, 0))=0, "", SUM(IF(INDEX(_xlfn._xlws.FILTER(#REF!,#REF!= M$5), 0, MATCH($Q$2,#REF!, 0))=$H31, 1, 0))))), "")</f>
        <v/>
      </c>
      <c r="Q31" t="str">
        <f>IF(C$5 = "", "", _xlfn.CONCAT("- ", MAXA(C$6:C$77)," units of ", C$5, " population group have a % PiN at of ", INDEX(A$6:A$77, MATCH(MAXA(C$6:C$77), C$6:C$77, 0))*100, "%"))</f>
        <v/>
      </c>
      <c r="Z31" s="60"/>
      <c r="AB31" t="str" cm="1">
        <f t="array" ref="AB31">IF(J$5="", "", _xlfn.CONCAT("- ", IF(IFERROR(MAXA(_xlfn._xlws.FILTER(J$6:J$77, H$6:H$77&gt;0)), 0) = 0, "", _xlfn.CONCAT(MAXA(_xlfn._xlws.FILTER(J$6:J$77, H$6:H$77&gt;0)), " units have ", INDEX(H$6:H$77, MATCH(MAXA(_xlfn._xlws.FILTER(J$6:J$77, H$6:H$77&gt;0)), J$6:J$77, 0))*100, "% PiN increase")), IF(OR(IFERROR(MAXA(_xlfn._xlws.FILTER(J$6:J$77, H$6:H$77&gt;0)), 0) = 0,IFERROR(MAXA(_xlfn._xlws.FILTER(J$6:J$77, H$6:H$77&lt;0)), 0) = 0), "", " and "), IF(IFERROR(MAXA(_xlfn._xlws.FILTER(J$6:J$77, H$6:H$77&lt;0)), 0)=0, "", _xlfn.CONCAT(MAXA(_xlfn._xlws.FILTER(J$6:J$77, H$6:H$77&lt;0)), " units have ", INDEX(H$6:H$77, MATCH(MAXA(_xlfn._xlws.FILTER(J$6:J$77, H$6:H$77&lt;0)), J$6:J$77, 0))*-100, "% PiN decrease")), " from ",  $Q$2, IF(J$5="", "", _xlfn.CONCAT(" for the ", J$5," population group"))))</f>
        <v/>
      </c>
    </row>
    <row r="32" spans="1:28" x14ac:dyDescent="0.55000000000000004">
      <c r="A32" s="37"/>
      <c r="B32" s="35" t="str" cm="1">
        <f t="array" ref="B32">IF($A32="", "", IF(SUM(IF(INDEX(_xlfn._xlws.FILTER(#REF!, tblPiNAnalysis[Population Group]=B$5), 0, MATCH(_xlfn.CONCAT($Q$2, "%"), #REF!, 0))=$A32, 1, 0))=0, "",SUM(IF(INDEX(_xlfn._xlws.FILTER(#REF!, tblPiNAnalysis[Population Group]=B$5), 0, MATCH(_xlfn.CONCAT($Q$2, "%"), #REF!, 0))=$A32, 1, 0))))</f>
        <v/>
      </c>
      <c r="C32" s="35" t="str" cm="1">
        <f t="array" ref="C32">IFERROR(IF(OR($A32="", C$5=""), "", IF(SUM(IF(INDEX(_xlfn._xlws.FILTER(#REF!, tblPiNAnalysis[Population Group]=C$5), 0, MATCH(_xlfn.CONCAT($Q$2, "%"), #REF!, 0))=$A32, 1, 0))=0, "",SUM(IF(INDEX(_xlfn._xlws.FILTER(#REF!, tblPiNAnalysis[Population Group]=C$5), 0, MATCH(_xlfn.CONCAT($Q$2, "%"), #REF!, 0))=$A32, 1, 0)))), "")</f>
        <v/>
      </c>
      <c r="D32" s="35" t="str" cm="1">
        <f t="array" ref="D32">IFERROR(IF(OR($A32="", D$5=""), "", IF(SUM(IF(INDEX(_xlfn._xlws.FILTER(#REF!, tblPiNAnalysis[Population Group]=D$5), 0, MATCH(_xlfn.CONCAT($Q$2, "%"), #REF!, 0))=$A32, 1, 0))=0, "",SUM(IF(INDEX(_xlfn._xlws.FILTER(#REF!, tblPiNAnalysis[Population Group]=D$5), 0, MATCH(_xlfn.CONCAT($Q$2, "%"), #REF!, 0))=$A32, 1, 0)))), "")</f>
        <v/>
      </c>
      <c r="E32" s="35" t="str" cm="1">
        <f t="array" ref="E32">IFERROR(IF(OR($A32="", E$5=""), "", IF(SUM(IF(INDEX(_xlfn._xlws.FILTER(#REF!, tblPiNAnalysis[Population Group]=E$5), 0, MATCH(_xlfn.CONCAT($Q$2, "%"), #REF!, 0))=$A32, 1, 0))=0, "",SUM(IF(INDEX(_xlfn._xlws.FILTER(#REF!, tblPiNAnalysis[Population Group]=E$5), 0, MATCH(_xlfn.CONCAT($Q$2, "%"), #REF!, 0))=$A32, 1, 0)))), "")</f>
        <v/>
      </c>
      <c r="F32" s="35" t="str" cm="1">
        <f t="array" ref="F32">IFERROR(IF(OR($A32="", F$5=""), "", IF(SUM(IF(INDEX(_xlfn._xlws.FILTER(#REF!, tblPiNAnalysis[CCCM]=F$5), 0, MATCH(_xlfn.CONCAT($Q$2, "%"), #REF!, 0))=$A32, 1, 0))=0, "",SUM(IF(INDEX(_xlfn._xlws.FILTER(#REF!, tblPiNAnalysis[CCCM]=F$5), 0, MATCH(_xlfn.CONCAT($Q$2, "%"), #REF!, 0))=$A32, 1, 0)))), "")</f>
        <v/>
      </c>
      <c r="H32" s="37"/>
      <c r="I32" s="35" t="str" cm="1">
        <f t="array" ref="I32">IF($H32="", "", IF($H32=2, SUM(IF(INDEX(_xlfn._xlws.FILTER(#REF!,#REF!= I$5), 0, MATCH($Q$2,#REF!, 0))&gt;1.9, 1, 0)), IF(SUM(IF(INDEX(_xlfn._xlws.FILTER(#REF!,#REF!= I$5), 0, MATCH($Q$2,#REF!, 0))=$H32, 1, 0))=0, "", SUM(IF(INDEX(_xlfn._xlws.FILTER(#REF!,#REF!= I$5), 0, MATCH($Q$2,#REF!, 0))=$H32, 1, 0)))))</f>
        <v/>
      </c>
      <c r="J32" s="35" t="str" cm="1">
        <f t="array" ref="J32">IFERROR(IF(OR($H32="", J31=""), "", IF($H32=2, SUM(IF(INDEX(_xlfn._xlws.FILTER(#REF!,#REF!= J$5), 0, MATCH($Q$2,#REF!, 0))&gt;1.9, 1, 0)), IF(SUM(IF(INDEX(_xlfn._xlws.FILTER(#REF!,#REF!= J$5), 0, MATCH($Q$2,#REF!, 0))=$H32, 1, 0))=0, "", SUM(IF(INDEX(_xlfn._xlws.FILTER(#REF!,#REF!= J$5), 0, MATCH($Q$2,#REF!, 0))=$H32, 1, 0))))), "")</f>
        <v/>
      </c>
      <c r="K32" s="35" t="str" cm="1">
        <f t="array" ref="K32">IFERROR(IF(OR($H32="", K31=""), "", IF($H32=2, SUM(IF(INDEX(_xlfn._xlws.FILTER(#REF!,#REF!= K$5), 0, MATCH($Q$2,#REF!, 0))&gt;1.9, 1, 0)), IF(SUM(IF(INDEX(_xlfn._xlws.FILTER(#REF!,#REF!= K$5), 0, MATCH($Q$2,#REF!, 0))=$H32, 1, 0))=0, "", SUM(IF(INDEX(_xlfn._xlws.FILTER(#REF!,#REF!= K$5), 0, MATCH($Q$2,#REF!, 0))=$H32, 1, 0))))), "")</f>
        <v/>
      </c>
      <c r="L32" s="35" t="str" cm="1">
        <f t="array" ref="L32">IFERROR(IF(OR($H32="", L31=""), "", IF($H32=2, SUM(IF(INDEX(_xlfn._xlws.FILTER(#REF!,#REF!= L$5), 0, MATCH($Q$2,#REF!, 0))&gt;1.9, 1, 0)), IF(SUM(IF(INDEX(_xlfn._xlws.FILTER(#REF!,#REF!= L$5), 0, MATCH($Q$2,#REF!, 0))=$H32, 1, 0))=0, "", SUM(IF(INDEX(_xlfn._xlws.FILTER(#REF!,#REF!= L$5), 0, MATCH($Q$2,#REF!, 0))=$H32, 1, 0))))), "")</f>
        <v/>
      </c>
      <c r="M32" s="35" t="str" cm="1">
        <f t="array" ref="M32">IFERROR(IF(OR($H32="", M31=""), "", IF($H32=2, SUM(IF(INDEX(_xlfn._xlws.FILTER(#REF!,#REF!= M$5), 0, MATCH($Q$2,#REF!, 0))&gt;1.9, 1, 0)), IF(SUM(IF(INDEX(_xlfn._xlws.FILTER(#REF!,#REF!= M$5), 0, MATCH($Q$2,#REF!, 0))=$H32, 1, 0))=0, "", SUM(IF(INDEX(_xlfn._xlws.FILTER(#REF!,#REF!= M$5), 0, MATCH($Q$2,#REF!, 0))=$H32, 1, 0))))), "")</f>
        <v/>
      </c>
      <c r="Q32" t="str">
        <f>IF(D$5 = "", "", _xlfn.CONCAT("- ", MAXA(D$6:D$77)," units of ", D$5, " population group have a % PiN at of ", INDEX(A$6:A$77, MATCH(MAXA(D$6:D$77), D$6:D$77, 0))*100, "%"))</f>
        <v/>
      </c>
      <c r="Z32" s="60"/>
      <c r="AB32" t="str" cm="1">
        <f t="array" ref="AB32">IF(K$5="", "", _xlfn.CONCAT("- ", IF(IFERROR(MAXA(_xlfn._xlws.FILTER(K$6:K$77, H$6:H$77&gt;0)), 0) = 0, "", _xlfn.CONCAT(MAXA(_xlfn._xlws.FILTER(K$6:K$77, H$6:H$77&gt;0)), " units have ", INDEX(H$6:H$77, MATCH(MAXA(_xlfn._xlws.FILTER(K$6:K$77, H$6:H$77&gt;0)), K$6:K$77, 0))*100, "% PiN increase")), IF(OR(IFERROR(MAXA(_xlfn._xlws.FILTER(K$6:K$77, H$6:H$77&gt;0)), 0) = 0,IFERROR(MAXA(_xlfn._xlws.FILTER(K$6:K$77, H$6:H$77&lt;0)), 0) = 0), "", " and "), IF(IFERROR(MAXA(_xlfn._xlws.FILTER(K$6:K$77, H$6:H$77&lt;0)), 0)=0, "", _xlfn.CONCAT(MAXA(_xlfn._xlws.FILTER(K$6:K$77, H$6:H$77&lt;0)), " units have ", INDEX(H$6:H$77, MATCH(MAXA(_xlfn._xlws.FILTER(K$6:K$77, H$6:H$77&lt;0)), K$6:K$77, 0))*-100, "% PiN decrease")), " from ",  $Q$2, IF(K$5="", "", _xlfn.CONCAT(" for the ", K$5," population group"))))</f>
        <v/>
      </c>
    </row>
    <row r="33" spans="1:28" x14ac:dyDescent="0.55000000000000004">
      <c r="A33" s="37"/>
      <c r="B33" s="35" t="str" cm="1">
        <f t="array" ref="B33">IF($A33="", "", IF(SUM(IF(INDEX(_xlfn._xlws.FILTER(#REF!, tblPiNAnalysis[Population Group]=B$5), 0, MATCH(_xlfn.CONCAT($Q$2, "%"), #REF!, 0))=$A33, 1, 0))=0, "",SUM(IF(INDEX(_xlfn._xlws.FILTER(#REF!, tblPiNAnalysis[Population Group]=B$5), 0, MATCH(_xlfn.CONCAT($Q$2, "%"), #REF!, 0))=$A33, 1, 0))))</f>
        <v/>
      </c>
      <c r="C33" s="35" t="str" cm="1">
        <f t="array" ref="C33">IFERROR(IF(OR($A33="", C$5=""), "", IF(SUM(IF(INDEX(_xlfn._xlws.FILTER(#REF!, tblPiNAnalysis[Population Group]=C$5), 0, MATCH(_xlfn.CONCAT($Q$2, "%"), #REF!, 0))=$A33, 1, 0))=0, "",SUM(IF(INDEX(_xlfn._xlws.FILTER(#REF!, tblPiNAnalysis[Population Group]=C$5), 0, MATCH(_xlfn.CONCAT($Q$2, "%"), #REF!, 0))=$A33, 1, 0)))), "")</f>
        <v/>
      </c>
      <c r="D33" s="35" t="str" cm="1">
        <f t="array" ref="D33">IFERROR(IF(OR($A33="", D$5=""), "", IF(SUM(IF(INDEX(_xlfn._xlws.FILTER(#REF!, tblPiNAnalysis[Population Group]=D$5), 0, MATCH(_xlfn.CONCAT($Q$2, "%"), #REF!, 0))=$A33, 1, 0))=0, "",SUM(IF(INDEX(_xlfn._xlws.FILTER(#REF!, tblPiNAnalysis[Population Group]=D$5), 0, MATCH(_xlfn.CONCAT($Q$2, "%"), #REF!, 0))=$A33, 1, 0)))), "")</f>
        <v/>
      </c>
      <c r="E33" s="35" t="str" cm="1">
        <f t="array" ref="E33">IFERROR(IF(OR($A33="", E$5=""), "", IF(SUM(IF(INDEX(_xlfn._xlws.FILTER(#REF!, tblPiNAnalysis[Population Group]=E$5), 0, MATCH(_xlfn.CONCAT($Q$2, "%"), #REF!, 0))=$A33, 1, 0))=0, "",SUM(IF(INDEX(_xlfn._xlws.FILTER(#REF!, tblPiNAnalysis[Population Group]=E$5), 0, MATCH(_xlfn.CONCAT($Q$2, "%"), #REF!, 0))=$A33, 1, 0)))), "")</f>
        <v/>
      </c>
      <c r="F33" s="35" t="str" cm="1">
        <f t="array" ref="F33">IFERROR(IF(OR($A33="", F$5=""), "", IF(SUM(IF(INDEX(_xlfn._xlws.FILTER(#REF!, tblPiNAnalysis[CCCM]=F$5), 0, MATCH(_xlfn.CONCAT($Q$2, "%"), #REF!, 0))=$A33, 1, 0))=0, "",SUM(IF(INDEX(_xlfn._xlws.FILTER(#REF!, tblPiNAnalysis[CCCM]=F$5), 0, MATCH(_xlfn.CONCAT($Q$2, "%"), #REF!, 0))=$A33, 1, 0)))), "")</f>
        <v/>
      </c>
      <c r="H33" s="37"/>
      <c r="I33" s="35" t="str" cm="1">
        <f t="array" ref="I33">IF($H33="", "", IF($H33=2, SUM(IF(INDEX(_xlfn._xlws.FILTER(#REF!,#REF!= I$5), 0, MATCH($Q$2,#REF!, 0))&gt;1.9, 1, 0)), IF(SUM(IF(INDEX(_xlfn._xlws.FILTER(#REF!,#REF!= I$5), 0, MATCH($Q$2,#REF!, 0))=$H33, 1, 0))=0, "", SUM(IF(INDEX(_xlfn._xlws.FILTER(#REF!,#REF!= I$5), 0, MATCH($Q$2,#REF!, 0))=$H33, 1, 0)))))</f>
        <v/>
      </c>
      <c r="J33" s="35" t="str" cm="1">
        <f t="array" ref="J33">IFERROR(IF(OR($H33="", J32=""), "", IF($H33=2, SUM(IF(INDEX(_xlfn._xlws.FILTER(#REF!,#REF!= J$5), 0, MATCH($Q$2,#REF!, 0))&gt;1.9, 1, 0)), IF(SUM(IF(INDEX(_xlfn._xlws.FILTER(#REF!,#REF!= J$5), 0, MATCH($Q$2,#REF!, 0))=$H33, 1, 0))=0, "", SUM(IF(INDEX(_xlfn._xlws.FILTER(#REF!,#REF!= J$5), 0, MATCH($Q$2,#REF!, 0))=$H33, 1, 0))))), "")</f>
        <v/>
      </c>
      <c r="K33" s="35" t="str" cm="1">
        <f t="array" ref="K33">IFERROR(IF(OR($H33="", K32=""), "", IF($H33=2, SUM(IF(INDEX(_xlfn._xlws.FILTER(#REF!,#REF!= K$5), 0, MATCH($Q$2,#REF!, 0))&gt;1.9, 1, 0)), IF(SUM(IF(INDEX(_xlfn._xlws.FILTER(#REF!,#REF!= K$5), 0, MATCH($Q$2,#REF!, 0))=$H33, 1, 0))=0, "", SUM(IF(INDEX(_xlfn._xlws.FILTER(#REF!,#REF!= K$5), 0, MATCH($Q$2,#REF!, 0))=$H33, 1, 0))))), "")</f>
        <v/>
      </c>
      <c r="L33" s="35" t="str" cm="1">
        <f t="array" ref="L33">IFERROR(IF(OR($H33="", L32=""), "", IF($H33=2, SUM(IF(INDEX(_xlfn._xlws.FILTER(#REF!,#REF!= L$5), 0, MATCH($Q$2,#REF!, 0))&gt;1.9, 1, 0)), IF(SUM(IF(INDEX(_xlfn._xlws.FILTER(#REF!,#REF!= L$5), 0, MATCH($Q$2,#REF!, 0))=$H33, 1, 0))=0, "", SUM(IF(INDEX(_xlfn._xlws.FILTER(#REF!,#REF!= L$5), 0, MATCH($Q$2,#REF!, 0))=$H33, 1, 0))))), "")</f>
        <v/>
      </c>
      <c r="M33" s="35" t="str" cm="1">
        <f t="array" ref="M33">IFERROR(IF(OR($H33="", M32=""), "", IF($H33=2, SUM(IF(INDEX(_xlfn._xlws.FILTER(#REF!,#REF!= M$5), 0, MATCH($Q$2,#REF!, 0))&gt;1.9, 1, 0)), IF(SUM(IF(INDEX(_xlfn._xlws.FILTER(#REF!,#REF!= M$5), 0, MATCH($Q$2,#REF!, 0))=$H33, 1, 0))=0, "", SUM(IF(INDEX(_xlfn._xlws.FILTER(#REF!,#REF!= M$5), 0, MATCH($Q$2,#REF!, 0))=$H33, 1, 0))))), "")</f>
        <v/>
      </c>
      <c r="Q33" t="str">
        <f>IF(E$5 = "", "", _xlfn.CONCAT("- ", MAXA(E$6:E$77)," units of ", E$5, " population group have a % PiN at of ", INDEX(A$6:A$77, MATCH(MAXA(E$6:E$77), E$6:E$77, 0))*100, "%"))</f>
        <v/>
      </c>
      <c r="Z33" s="60"/>
      <c r="AB33" t="str" cm="1">
        <f t="array" ref="AB33">IF(L$5="", "", _xlfn.CONCAT("- ", IF(IFERROR(MAXA(_xlfn._xlws.FILTER(L$6:L$77, H$6:H$77&gt;0)), 0) = 0, "", _xlfn.CONCAT(MAXA(_xlfn._xlws.FILTER(L$6:L$77, H$6:H$77&gt;0)), " units have ", INDEX(H$6:H$77, MATCH(MAXA(_xlfn._xlws.FILTER(L$6:L$77, H$6:H$77&gt;0)), L$6:L$77, 0))*100, "% PiN increase")), IF(OR(IFERROR(MAXA(_xlfn._xlws.FILTER(L$6:L$77, H$6:H$77&gt;0)), 0) = 0,IFERROR(MAXA(_xlfn._xlws.FILTER(L$6:L$77, H$6:H$77&lt;0)), 0) = 0), "", " and "), IF(IFERROR(MAXA(_xlfn._xlws.FILTER(L$6:L$77, H$6:H$77&lt;0)), 0)=0, "", _xlfn.CONCAT(MAXA(_xlfn._xlws.FILTER(L$6:L$77, H$6:H$77&lt;0)), " units have ", INDEX(H$6:H$77, MATCH(MAXA(_xlfn._xlws.FILTER(L$6:L$77, H$6:H$77&lt;0)), L$6:L$77, 0))*-100, "% PiN decrease")), " from ",  $Q$2, IF(L$5="", "", _xlfn.CONCAT(" for the ", L$5," population group"))))</f>
        <v/>
      </c>
    </row>
    <row r="34" spans="1:28" x14ac:dyDescent="0.55000000000000004">
      <c r="A34" s="37"/>
      <c r="B34" s="35" t="str" cm="1">
        <f t="array" ref="B34">IF($A34="", "", IF(SUM(IF(INDEX(_xlfn._xlws.FILTER(#REF!, tblPiNAnalysis[Population Group]=B$5), 0, MATCH(_xlfn.CONCAT($Q$2, "%"), #REF!, 0))=$A34, 1, 0))=0, "",SUM(IF(INDEX(_xlfn._xlws.FILTER(#REF!, tblPiNAnalysis[Population Group]=B$5), 0, MATCH(_xlfn.CONCAT($Q$2, "%"), #REF!, 0))=$A34, 1, 0))))</f>
        <v/>
      </c>
      <c r="C34" s="35" t="str" cm="1">
        <f t="array" ref="C34">IFERROR(IF(OR($A34="", C$5=""), "", IF(SUM(IF(INDEX(_xlfn._xlws.FILTER(#REF!, tblPiNAnalysis[Population Group]=C$5), 0, MATCH(_xlfn.CONCAT($Q$2, "%"), #REF!, 0))=$A34, 1, 0))=0, "",SUM(IF(INDEX(_xlfn._xlws.FILTER(#REF!, tblPiNAnalysis[Population Group]=C$5), 0, MATCH(_xlfn.CONCAT($Q$2, "%"), #REF!, 0))=$A34, 1, 0)))), "")</f>
        <v/>
      </c>
      <c r="D34" s="35" t="str" cm="1">
        <f t="array" ref="D34">IFERROR(IF(OR($A34="", D$5=""), "", IF(SUM(IF(INDEX(_xlfn._xlws.FILTER(#REF!, tblPiNAnalysis[Population Group]=D$5), 0, MATCH(_xlfn.CONCAT($Q$2, "%"), #REF!, 0))=$A34, 1, 0))=0, "",SUM(IF(INDEX(_xlfn._xlws.FILTER(#REF!, tblPiNAnalysis[Population Group]=D$5), 0, MATCH(_xlfn.CONCAT($Q$2, "%"), #REF!, 0))=$A34, 1, 0)))), "")</f>
        <v/>
      </c>
      <c r="E34" s="35" t="str" cm="1">
        <f t="array" ref="E34">IFERROR(IF(OR($A34="", E$5=""), "", IF(SUM(IF(INDEX(_xlfn._xlws.FILTER(#REF!, tblPiNAnalysis[Population Group]=E$5), 0, MATCH(_xlfn.CONCAT($Q$2, "%"), #REF!, 0))=$A34, 1, 0))=0, "",SUM(IF(INDEX(_xlfn._xlws.FILTER(#REF!, tblPiNAnalysis[Population Group]=E$5), 0, MATCH(_xlfn.CONCAT($Q$2, "%"), #REF!, 0))=$A34, 1, 0)))), "")</f>
        <v/>
      </c>
      <c r="F34" s="35" t="str" cm="1">
        <f t="array" ref="F34">IFERROR(IF(OR($A34="", F$5=""), "", IF(SUM(IF(INDEX(_xlfn._xlws.FILTER(#REF!, tblPiNAnalysis[CCCM]=F$5), 0, MATCH(_xlfn.CONCAT($Q$2, "%"), #REF!, 0))=$A34, 1, 0))=0, "",SUM(IF(INDEX(_xlfn._xlws.FILTER(#REF!, tblPiNAnalysis[CCCM]=F$5), 0, MATCH(_xlfn.CONCAT($Q$2, "%"), #REF!, 0))=$A34, 1, 0)))), "")</f>
        <v/>
      </c>
      <c r="H34" s="37"/>
      <c r="I34" s="35" t="str" cm="1">
        <f t="array" ref="I34">IF($H34="", "", IF($H34=2, SUM(IF(INDEX(_xlfn._xlws.FILTER(#REF!,#REF!= I$5), 0, MATCH($Q$2,#REF!, 0))&gt;1.9, 1, 0)), IF(SUM(IF(INDEX(_xlfn._xlws.FILTER(#REF!,#REF!= I$5), 0, MATCH($Q$2,#REF!, 0))=$H34, 1, 0))=0, "", SUM(IF(INDEX(_xlfn._xlws.FILTER(#REF!,#REF!= I$5), 0, MATCH($Q$2,#REF!, 0))=$H34, 1, 0)))))</f>
        <v/>
      </c>
      <c r="J34" s="35" t="str" cm="1">
        <f t="array" ref="J34">IFERROR(IF(OR($H34="", J33=""), "", IF($H34=2, SUM(IF(INDEX(_xlfn._xlws.FILTER(#REF!,#REF!= J$5), 0, MATCH($Q$2,#REF!, 0))&gt;1.9, 1, 0)), IF(SUM(IF(INDEX(_xlfn._xlws.FILTER(#REF!,#REF!= J$5), 0, MATCH($Q$2,#REF!, 0))=$H34, 1, 0))=0, "", SUM(IF(INDEX(_xlfn._xlws.FILTER(#REF!,#REF!= J$5), 0, MATCH($Q$2,#REF!, 0))=$H34, 1, 0))))), "")</f>
        <v/>
      </c>
      <c r="K34" s="35" t="str" cm="1">
        <f t="array" ref="K34">IFERROR(IF(OR($H34="", K33=""), "", IF($H34=2, SUM(IF(INDEX(_xlfn._xlws.FILTER(#REF!,#REF!= K$5), 0, MATCH($Q$2,#REF!, 0))&gt;1.9, 1, 0)), IF(SUM(IF(INDEX(_xlfn._xlws.FILTER(#REF!,#REF!= K$5), 0, MATCH($Q$2,#REF!, 0))=$H34, 1, 0))=0, "", SUM(IF(INDEX(_xlfn._xlws.FILTER(#REF!,#REF!= K$5), 0, MATCH($Q$2,#REF!, 0))=$H34, 1, 0))))), "")</f>
        <v/>
      </c>
      <c r="L34" s="35" t="str" cm="1">
        <f t="array" ref="L34">IFERROR(IF(OR($H34="", L33=""), "", IF($H34=2, SUM(IF(INDEX(_xlfn._xlws.FILTER(#REF!,#REF!= L$5), 0, MATCH($Q$2,#REF!, 0))&gt;1.9, 1, 0)), IF(SUM(IF(INDEX(_xlfn._xlws.FILTER(#REF!,#REF!= L$5), 0, MATCH($Q$2,#REF!, 0))=$H34, 1, 0))=0, "", SUM(IF(INDEX(_xlfn._xlws.FILTER(#REF!,#REF!= L$5), 0, MATCH($Q$2,#REF!, 0))=$H34, 1, 0))))), "")</f>
        <v/>
      </c>
      <c r="M34" s="35" t="str" cm="1">
        <f t="array" ref="M34">IFERROR(IF(OR($H34="", M33=""), "", IF($H34=2, SUM(IF(INDEX(_xlfn._xlws.FILTER(#REF!,#REF!= M$5), 0, MATCH($Q$2,#REF!, 0))&gt;1.9, 1, 0)), IF(SUM(IF(INDEX(_xlfn._xlws.FILTER(#REF!,#REF!= M$5), 0, MATCH($Q$2,#REF!, 0))=$H34, 1, 0))=0, "", SUM(IF(INDEX(_xlfn._xlws.FILTER(#REF!,#REF!= M$5), 0, MATCH($Q$2,#REF!, 0))=$H34, 1, 0))))), "")</f>
        <v/>
      </c>
      <c r="Q34" t="str">
        <f>IF(F$5 = "", "", _xlfn.CONCAT("- ", MAXA(F$6:F$77)," units of ", F$5, " population group have a % PiN at of ", INDEX(A$6:A$77, MATCH(MAXA(F$6:F$77), F$6:F$77, 0))*100, "%"))</f>
        <v/>
      </c>
      <c r="AB34" t="str" cm="1">
        <f t="array" ref="AB34">IF(M$5="", "", _xlfn.CONCAT("- ", IF(IFERROR(MAXA(_xlfn._xlws.FILTER(M$6:M$77, H$6:H$77&gt;0)), 0) = 0, "", _xlfn.CONCAT(MAXA(_xlfn._xlws.FILTER(M$6:M$77, H$6:H$77&gt;0)), " units have ", INDEX(H$6:H$77, MATCH(MAXA(_xlfn._xlws.FILTER(M$6:M$77, H$6:H$77&gt;0)), M$6:M$77, 0))*100, "% PiN increase")), IF(OR(IFERROR(MAXA(_xlfn._xlws.FILTER(M$6:M$77, H$6:H$77&gt;0)), 0) = 0,IFERROR(MAXA(_xlfn._xlws.FILTER(M$6:M$77, H$6:H$77&lt;0)), 0) = 0), "", " and "), IF(IFERROR(MAXA(_xlfn._xlws.FILTER(M$6:M$77, H$6:H$77&lt;0)), 0)=0, "", _xlfn.CONCAT(MAXA(_xlfn._xlws.FILTER(M$6:M$77, H$6:H$77&lt;0)), " units have ", INDEX(H$6:H$77, MATCH(MAXA(_xlfn._xlws.FILTER(M$6:M$77, H$6:H$77&lt;0)), M$6:M$77, 0))*-100, "% PiN decrease")), " from ",  $Q$2, IF(M$5="", "", _xlfn.CONCAT(" for the ", M$5," population group"))))</f>
        <v/>
      </c>
    </row>
    <row r="35" spans="1:28" x14ac:dyDescent="0.55000000000000004">
      <c r="A35" s="37"/>
      <c r="B35" s="35" t="str" cm="1">
        <f t="array" ref="B35">IF($A35="", "", IF(SUM(IF(INDEX(_xlfn._xlws.FILTER(#REF!, tblPiNAnalysis[Population Group]=B$5), 0, MATCH(_xlfn.CONCAT($Q$2, "%"), #REF!, 0))=$A35, 1, 0))=0, "",SUM(IF(INDEX(_xlfn._xlws.FILTER(#REF!, tblPiNAnalysis[Population Group]=B$5), 0, MATCH(_xlfn.CONCAT($Q$2, "%"), #REF!, 0))=$A35, 1, 0))))</f>
        <v/>
      </c>
      <c r="C35" s="35" t="str" cm="1">
        <f t="array" ref="C35">IFERROR(IF(OR($A35="", C$5=""), "", IF(SUM(IF(INDEX(_xlfn._xlws.FILTER(#REF!, tblPiNAnalysis[Population Group]=C$5), 0, MATCH(_xlfn.CONCAT($Q$2, "%"), #REF!, 0))=$A35, 1, 0))=0, "",SUM(IF(INDEX(_xlfn._xlws.FILTER(#REF!, tblPiNAnalysis[Population Group]=C$5), 0, MATCH(_xlfn.CONCAT($Q$2, "%"), #REF!, 0))=$A35, 1, 0)))), "")</f>
        <v/>
      </c>
      <c r="D35" s="35" t="str" cm="1">
        <f t="array" ref="D35">IFERROR(IF(OR($A35="", D$5=""), "", IF(SUM(IF(INDEX(_xlfn._xlws.FILTER(#REF!, tblPiNAnalysis[Population Group]=D$5), 0, MATCH(_xlfn.CONCAT($Q$2, "%"), #REF!, 0))=$A35, 1, 0))=0, "",SUM(IF(INDEX(_xlfn._xlws.FILTER(#REF!, tblPiNAnalysis[Population Group]=D$5), 0, MATCH(_xlfn.CONCAT($Q$2, "%"), #REF!, 0))=$A35, 1, 0)))), "")</f>
        <v/>
      </c>
      <c r="E35" s="35" t="str" cm="1">
        <f t="array" ref="E35">IFERROR(IF(OR($A35="", E$5=""), "", IF(SUM(IF(INDEX(_xlfn._xlws.FILTER(#REF!, tblPiNAnalysis[Population Group]=E$5), 0, MATCH(_xlfn.CONCAT($Q$2, "%"), #REF!, 0))=$A35, 1, 0))=0, "",SUM(IF(INDEX(_xlfn._xlws.FILTER(#REF!, tblPiNAnalysis[Population Group]=E$5), 0, MATCH(_xlfn.CONCAT($Q$2, "%"), #REF!, 0))=$A35, 1, 0)))), "")</f>
        <v/>
      </c>
      <c r="F35" s="35" t="str" cm="1">
        <f t="array" ref="F35">IFERROR(IF(OR($A35="", F$5=""), "", IF(SUM(IF(INDEX(_xlfn._xlws.FILTER(#REF!, tblPiNAnalysis[CCCM]=F$5), 0, MATCH(_xlfn.CONCAT($Q$2, "%"), #REF!, 0))=$A35, 1, 0))=0, "",SUM(IF(INDEX(_xlfn._xlws.FILTER(#REF!, tblPiNAnalysis[CCCM]=F$5), 0, MATCH(_xlfn.CONCAT($Q$2, "%"), #REF!, 0))=$A35, 1, 0)))), "")</f>
        <v/>
      </c>
      <c r="H35" s="37"/>
      <c r="I35" s="35" t="str" cm="1">
        <f t="array" ref="I35">IF($H35="", "", IF($H35=2, SUM(IF(INDEX(_xlfn._xlws.FILTER(#REF!,#REF!= I$5), 0, MATCH($Q$2,#REF!, 0))&gt;1.9, 1, 0)), IF(SUM(IF(INDEX(_xlfn._xlws.FILTER(#REF!,#REF!= I$5), 0, MATCH($Q$2,#REF!, 0))=$H35, 1, 0))=0, "", SUM(IF(INDEX(_xlfn._xlws.FILTER(#REF!,#REF!= I$5), 0, MATCH($Q$2,#REF!, 0))=$H35, 1, 0)))))</f>
        <v/>
      </c>
      <c r="J35" s="35" t="str" cm="1">
        <f t="array" ref="J35">IFERROR(IF(OR($H35="", J34=""), "", IF($H35=2, SUM(IF(INDEX(_xlfn._xlws.FILTER(#REF!,#REF!= J$5), 0, MATCH($Q$2,#REF!, 0))&gt;1.9, 1, 0)), IF(SUM(IF(INDEX(_xlfn._xlws.FILTER(#REF!,#REF!= J$5), 0, MATCH($Q$2,#REF!, 0))=$H35, 1, 0))=0, "", SUM(IF(INDEX(_xlfn._xlws.FILTER(#REF!,#REF!= J$5), 0, MATCH($Q$2,#REF!, 0))=$H35, 1, 0))))), "")</f>
        <v/>
      </c>
      <c r="K35" s="35" t="str" cm="1">
        <f t="array" ref="K35">IFERROR(IF(OR($H35="", K34=""), "", IF($H35=2, SUM(IF(INDEX(_xlfn._xlws.FILTER(#REF!,#REF!= K$5), 0, MATCH($Q$2,#REF!, 0))&gt;1.9, 1, 0)), IF(SUM(IF(INDEX(_xlfn._xlws.FILTER(#REF!,#REF!= K$5), 0, MATCH($Q$2,#REF!, 0))=$H35, 1, 0))=0, "", SUM(IF(INDEX(_xlfn._xlws.FILTER(#REF!,#REF!= K$5), 0, MATCH($Q$2,#REF!, 0))=$H35, 1, 0))))), "")</f>
        <v/>
      </c>
      <c r="L35" s="35" t="str" cm="1">
        <f t="array" ref="L35">IFERROR(IF(OR($H35="", L34=""), "", IF($H35=2, SUM(IF(INDEX(_xlfn._xlws.FILTER(#REF!,#REF!= L$5), 0, MATCH($Q$2,#REF!, 0))&gt;1.9, 1, 0)), IF(SUM(IF(INDEX(_xlfn._xlws.FILTER(#REF!,#REF!= L$5), 0, MATCH($Q$2,#REF!, 0))=$H35, 1, 0))=0, "", SUM(IF(INDEX(_xlfn._xlws.FILTER(#REF!,#REF!= L$5), 0, MATCH($Q$2,#REF!, 0))=$H35, 1, 0))))), "")</f>
        <v/>
      </c>
      <c r="M35" s="35" t="str" cm="1">
        <f t="array" ref="M35">IFERROR(IF(OR($H35="", M34=""), "", IF($H35=2, SUM(IF(INDEX(_xlfn._xlws.FILTER(#REF!,#REF!= M$5), 0, MATCH($Q$2,#REF!, 0))&gt;1.9, 1, 0)), IF(SUM(IF(INDEX(_xlfn._xlws.FILTER(#REF!,#REF!= M$5), 0, MATCH($Q$2,#REF!, 0))=$H35, 1, 0))=0, "", SUM(IF(INDEX(_xlfn._xlws.FILTER(#REF!,#REF!= M$5), 0, MATCH($Q$2,#REF!, 0))=$H35, 1, 0))))), "")</f>
        <v/>
      </c>
    </row>
    <row r="36" spans="1:28" x14ac:dyDescent="0.55000000000000004">
      <c r="A36" s="37"/>
      <c r="B36" s="35" t="str" cm="1">
        <f t="array" ref="B36">IF($A36="", "", IF(SUM(IF(INDEX(_xlfn._xlws.FILTER(#REF!, tblPiNAnalysis[Population Group]=B$5), 0, MATCH(_xlfn.CONCAT($Q$2, "%"), #REF!, 0))=$A36, 1, 0))=0, "",SUM(IF(INDEX(_xlfn._xlws.FILTER(#REF!, tblPiNAnalysis[Population Group]=B$5), 0, MATCH(_xlfn.CONCAT($Q$2, "%"), #REF!, 0))=$A36, 1, 0))))</f>
        <v/>
      </c>
      <c r="C36" s="35" t="str" cm="1">
        <f t="array" ref="C36">IFERROR(IF(OR($A36="", C$5=""), "", IF(SUM(IF(INDEX(_xlfn._xlws.FILTER(#REF!, tblPiNAnalysis[Population Group]=C$5), 0, MATCH(_xlfn.CONCAT($Q$2, "%"), #REF!, 0))=$A36, 1, 0))=0, "",SUM(IF(INDEX(_xlfn._xlws.FILTER(#REF!, tblPiNAnalysis[Population Group]=C$5), 0, MATCH(_xlfn.CONCAT($Q$2, "%"), #REF!, 0))=$A36, 1, 0)))), "")</f>
        <v/>
      </c>
      <c r="D36" s="35" t="str" cm="1">
        <f t="array" ref="D36">IFERROR(IF(OR($A36="", D$5=""), "", IF(SUM(IF(INDEX(_xlfn._xlws.FILTER(#REF!, tblPiNAnalysis[Population Group]=D$5), 0, MATCH(_xlfn.CONCAT($Q$2, "%"), #REF!, 0))=$A36, 1, 0))=0, "",SUM(IF(INDEX(_xlfn._xlws.FILTER(#REF!, tblPiNAnalysis[Population Group]=D$5), 0, MATCH(_xlfn.CONCAT($Q$2, "%"), #REF!, 0))=$A36, 1, 0)))), "")</f>
        <v/>
      </c>
      <c r="E36" s="35" t="str" cm="1">
        <f t="array" ref="E36">IFERROR(IF(OR($A36="", E$5=""), "", IF(SUM(IF(INDEX(_xlfn._xlws.FILTER(#REF!, tblPiNAnalysis[Population Group]=E$5), 0, MATCH(_xlfn.CONCAT($Q$2, "%"), #REF!, 0))=$A36, 1, 0))=0, "",SUM(IF(INDEX(_xlfn._xlws.FILTER(#REF!, tblPiNAnalysis[Population Group]=E$5), 0, MATCH(_xlfn.CONCAT($Q$2, "%"), #REF!, 0))=$A36, 1, 0)))), "")</f>
        <v/>
      </c>
      <c r="F36" s="35" t="str" cm="1">
        <f t="array" ref="F36">IFERROR(IF(OR($A36="", F$5=""), "", IF(SUM(IF(INDEX(_xlfn._xlws.FILTER(#REF!, tblPiNAnalysis[CCCM]=F$5), 0, MATCH(_xlfn.CONCAT($Q$2, "%"), #REF!, 0))=$A36, 1, 0))=0, "",SUM(IF(INDEX(_xlfn._xlws.FILTER(#REF!, tblPiNAnalysis[CCCM]=F$5), 0, MATCH(_xlfn.CONCAT($Q$2, "%"), #REF!, 0))=$A36, 1, 0)))), "")</f>
        <v/>
      </c>
      <c r="H36" s="37"/>
      <c r="I36" s="35" t="str" cm="1">
        <f t="array" ref="I36">IF($H36="", "", IF($H36=2, SUM(IF(INDEX(_xlfn._xlws.FILTER(#REF!,#REF!= I$5), 0, MATCH($Q$2,#REF!, 0))&gt;1.9, 1, 0)), IF(SUM(IF(INDEX(_xlfn._xlws.FILTER(#REF!,#REF!= I$5), 0, MATCH($Q$2,#REF!, 0))=$H36, 1, 0))=0, "", SUM(IF(INDEX(_xlfn._xlws.FILTER(#REF!,#REF!= I$5), 0, MATCH($Q$2,#REF!, 0))=$H36, 1, 0)))))</f>
        <v/>
      </c>
      <c r="J36" s="35" t="str" cm="1">
        <f t="array" ref="J36">IFERROR(IF(OR($H36="", J35=""), "", IF($H36=2, SUM(IF(INDEX(_xlfn._xlws.FILTER(#REF!,#REF!= J$5), 0, MATCH($Q$2,#REF!, 0))&gt;1.9, 1, 0)), IF(SUM(IF(INDEX(_xlfn._xlws.FILTER(#REF!,#REF!= J$5), 0, MATCH($Q$2,#REF!, 0))=$H36, 1, 0))=0, "", SUM(IF(INDEX(_xlfn._xlws.FILTER(#REF!,#REF!= J$5), 0, MATCH($Q$2,#REF!, 0))=$H36, 1, 0))))), "")</f>
        <v/>
      </c>
      <c r="K36" s="35" t="str" cm="1">
        <f t="array" ref="K36">IFERROR(IF(OR($H36="", K35=""), "", IF($H36=2, SUM(IF(INDEX(_xlfn._xlws.FILTER(#REF!,#REF!= K$5), 0, MATCH($Q$2,#REF!, 0))&gt;1.9, 1, 0)), IF(SUM(IF(INDEX(_xlfn._xlws.FILTER(#REF!,#REF!= K$5), 0, MATCH($Q$2,#REF!, 0))=$H36, 1, 0))=0, "", SUM(IF(INDEX(_xlfn._xlws.FILTER(#REF!,#REF!= K$5), 0, MATCH($Q$2,#REF!, 0))=$H36, 1, 0))))), "")</f>
        <v/>
      </c>
      <c r="L36" s="35" t="str" cm="1">
        <f t="array" ref="L36">IFERROR(IF(OR($H36="", L35=""), "", IF($H36=2, SUM(IF(INDEX(_xlfn._xlws.FILTER(#REF!,#REF!= L$5), 0, MATCH($Q$2,#REF!, 0))&gt;1.9, 1, 0)), IF(SUM(IF(INDEX(_xlfn._xlws.FILTER(#REF!,#REF!= L$5), 0, MATCH($Q$2,#REF!, 0))=$H36, 1, 0))=0, "", SUM(IF(INDEX(_xlfn._xlws.FILTER(#REF!,#REF!= L$5), 0, MATCH($Q$2,#REF!, 0))=$H36, 1, 0))))), "")</f>
        <v/>
      </c>
      <c r="M36" s="35" t="str" cm="1">
        <f t="array" ref="M36">IFERROR(IF(OR($H36="", M35=""), "", IF($H36=2, SUM(IF(INDEX(_xlfn._xlws.FILTER(#REF!,#REF!= M$5), 0, MATCH($Q$2,#REF!, 0))&gt;1.9, 1, 0)), IF(SUM(IF(INDEX(_xlfn._xlws.FILTER(#REF!,#REF!= M$5), 0, MATCH($Q$2,#REF!, 0))=$H36, 1, 0))=0, "", SUM(IF(INDEX(_xlfn._xlws.FILTER(#REF!,#REF!= M$5), 0, MATCH($Q$2,#REF!, 0))=$H36, 1, 0))))), "")</f>
        <v/>
      </c>
    </row>
    <row r="37" spans="1:28" x14ac:dyDescent="0.55000000000000004">
      <c r="A37" s="37"/>
      <c r="B37" s="35" t="str" cm="1">
        <f t="array" ref="B37">IF($A37="", "", IF(SUM(IF(INDEX(_xlfn._xlws.FILTER(#REF!, tblPiNAnalysis[Population Group]=B$5), 0, MATCH(_xlfn.CONCAT($Q$2, "%"), #REF!, 0))=$A37, 1, 0))=0, "",SUM(IF(INDEX(_xlfn._xlws.FILTER(#REF!, tblPiNAnalysis[Population Group]=B$5), 0, MATCH(_xlfn.CONCAT($Q$2, "%"), #REF!, 0))=$A37, 1, 0))))</f>
        <v/>
      </c>
      <c r="C37" s="35" t="str" cm="1">
        <f t="array" ref="C37">IFERROR(IF(OR($A37="", C$5=""), "", IF(SUM(IF(INDEX(_xlfn._xlws.FILTER(#REF!, tblPiNAnalysis[Population Group]=C$5), 0, MATCH(_xlfn.CONCAT($Q$2, "%"), #REF!, 0))=$A37, 1, 0))=0, "",SUM(IF(INDEX(_xlfn._xlws.FILTER(#REF!, tblPiNAnalysis[Population Group]=C$5), 0, MATCH(_xlfn.CONCAT($Q$2, "%"), #REF!, 0))=$A37, 1, 0)))), "")</f>
        <v/>
      </c>
      <c r="D37" s="35" t="str" cm="1">
        <f t="array" ref="D37">IFERROR(IF(OR($A37="", D$5=""), "", IF(SUM(IF(INDEX(_xlfn._xlws.FILTER(#REF!, tblPiNAnalysis[Population Group]=D$5), 0, MATCH(_xlfn.CONCAT($Q$2, "%"), #REF!, 0))=$A37, 1, 0))=0, "",SUM(IF(INDEX(_xlfn._xlws.FILTER(#REF!, tblPiNAnalysis[Population Group]=D$5), 0, MATCH(_xlfn.CONCAT($Q$2, "%"), #REF!, 0))=$A37, 1, 0)))), "")</f>
        <v/>
      </c>
      <c r="E37" s="35" t="str" cm="1">
        <f t="array" ref="E37">IFERROR(IF(OR($A37="", E$5=""), "", IF(SUM(IF(INDEX(_xlfn._xlws.FILTER(#REF!, tblPiNAnalysis[Population Group]=E$5), 0, MATCH(_xlfn.CONCAT($Q$2, "%"), #REF!, 0))=$A37, 1, 0))=0, "",SUM(IF(INDEX(_xlfn._xlws.FILTER(#REF!, tblPiNAnalysis[Population Group]=E$5), 0, MATCH(_xlfn.CONCAT($Q$2, "%"), #REF!, 0))=$A37, 1, 0)))), "")</f>
        <v/>
      </c>
      <c r="F37" s="35" t="str" cm="1">
        <f t="array" ref="F37">IFERROR(IF(OR($A37="", F$5=""), "", IF(SUM(IF(INDEX(_xlfn._xlws.FILTER(#REF!, tblPiNAnalysis[CCCM]=F$5), 0, MATCH(_xlfn.CONCAT($Q$2, "%"), #REF!, 0))=$A37, 1, 0))=0, "",SUM(IF(INDEX(_xlfn._xlws.FILTER(#REF!, tblPiNAnalysis[CCCM]=F$5), 0, MATCH(_xlfn.CONCAT($Q$2, "%"), #REF!, 0))=$A37, 1, 0)))), "")</f>
        <v/>
      </c>
      <c r="H37" s="37"/>
      <c r="I37" s="35" t="str" cm="1">
        <f t="array" ref="I37">IF($H37="", "", IF($H37=2, SUM(IF(INDEX(_xlfn._xlws.FILTER(#REF!,#REF!= I$5), 0, MATCH($Q$2,#REF!, 0))&gt;1.9, 1, 0)), IF(SUM(IF(INDEX(_xlfn._xlws.FILTER(#REF!,#REF!= I$5), 0, MATCH($Q$2,#REF!, 0))=$H37, 1, 0))=0, "", SUM(IF(INDEX(_xlfn._xlws.FILTER(#REF!,#REF!= I$5), 0, MATCH($Q$2,#REF!, 0))=$H37, 1, 0)))))</f>
        <v/>
      </c>
      <c r="J37" s="35" t="str" cm="1">
        <f t="array" ref="J37">IFERROR(IF(OR($H37="", J36=""), "", IF($H37=2, SUM(IF(INDEX(_xlfn._xlws.FILTER(#REF!,#REF!= J$5), 0, MATCH($Q$2,#REF!, 0))&gt;1.9, 1, 0)), IF(SUM(IF(INDEX(_xlfn._xlws.FILTER(#REF!,#REF!= J$5), 0, MATCH($Q$2,#REF!, 0))=$H37, 1, 0))=0, "", SUM(IF(INDEX(_xlfn._xlws.FILTER(#REF!,#REF!= J$5), 0, MATCH($Q$2,#REF!, 0))=$H37, 1, 0))))), "")</f>
        <v/>
      </c>
      <c r="K37" s="35" t="str" cm="1">
        <f t="array" ref="K37">IFERROR(IF(OR($H37="", K36=""), "", IF($H37=2, SUM(IF(INDEX(_xlfn._xlws.FILTER(#REF!,#REF!= K$5), 0, MATCH($Q$2,#REF!, 0))&gt;1.9, 1, 0)), IF(SUM(IF(INDEX(_xlfn._xlws.FILTER(#REF!,#REF!= K$5), 0, MATCH($Q$2,#REF!, 0))=$H37, 1, 0))=0, "", SUM(IF(INDEX(_xlfn._xlws.FILTER(#REF!,#REF!= K$5), 0, MATCH($Q$2,#REF!, 0))=$H37, 1, 0))))), "")</f>
        <v/>
      </c>
      <c r="L37" s="35" t="str" cm="1">
        <f t="array" ref="L37">IFERROR(IF(OR($H37="", L36=""), "", IF($H37=2, SUM(IF(INDEX(_xlfn._xlws.FILTER(#REF!,#REF!= L$5), 0, MATCH($Q$2,#REF!, 0))&gt;1.9, 1, 0)), IF(SUM(IF(INDEX(_xlfn._xlws.FILTER(#REF!,#REF!= L$5), 0, MATCH($Q$2,#REF!, 0))=$H37, 1, 0))=0, "", SUM(IF(INDEX(_xlfn._xlws.FILTER(#REF!,#REF!= L$5), 0, MATCH($Q$2,#REF!, 0))=$H37, 1, 0))))), "")</f>
        <v/>
      </c>
      <c r="M37" s="35" t="str" cm="1">
        <f t="array" ref="M37">IFERROR(IF(OR($H37="", M36=""), "", IF($H37=2, SUM(IF(INDEX(_xlfn._xlws.FILTER(#REF!,#REF!= M$5), 0, MATCH($Q$2,#REF!, 0))&gt;1.9, 1, 0)), IF(SUM(IF(INDEX(_xlfn._xlws.FILTER(#REF!,#REF!= M$5), 0, MATCH($Q$2,#REF!, 0))=$H37, 1, 0))=0, "", SUM(IF(INDEX(_xlfn._xlws.FILTER(#REF!,#REF!= M$5), 0, MATCH($Q$2,#REF!, 0))=$H37, 1, 0))))), "")</f>
        <v/>
      </c>
    </row>
    <row r="38" spans="1:28" x14ac:dyDescent="0.55000000000000004">
      <c r="A38" s="37"/>
      <c r="B38" s="35" t="str" cm="1">
        <f t="array" ref="B38">IF($A38="", "", IF(SUM(IF(INDEX(_xlfn._xlws.FILTER(#REF!, tblPiNAnalysis[Population Group]=B$5), 0, MATCH(_xlfn.CONCAT($Q$2, "%"), #REF!, 0))=$A38, 1, 0))=0, "",SUM(IF(INDEX(_xlfn._xlws.FILTER(#REF!, tblPiNAnalysis[Population Group]=B$5), 0, MATCH(_xlfn.CONCAT($Q$2, "%"), #REF!, 0))=$A38, 1, 0))))</f>
        <v/>
      </c>
      <c r="C38" s="35" t="str" cm="1">
        <f t="array" ref="C38">IFERROR(IF(OR($A38="", C$5=""), "", IF(SUM(IF(INDEX(_xlfn._xlws.FILTER(#REF!, tblPiNAnalysis[Population Group]=C$5), 0, MATCH(_xlfn.CONCAT($Q$2, "%"), #REF!, 0))=$A38, 1, 0))=0, "",SUM(IF(INDEX(_xlfn._xlws.FILTER(#REF!, tblPiNAnalysis[Population Group]=C$5), 0, MATCH(_xlfn.CONCAT($Q$2, "%"), #REF!, 0))=$A38, 1, 0)))), "")</f>
        <v/>
      </c>
      <c r="D38" s="35" t="str" cm="1">
        <f t="array" ref="D38">IFERROR(IF(OR($A38="", D$5=""), "", IF(SUM(IF(INDEX(_xlfn._xlws.FILTER(#REF!, tblPiNAnalysis[Population Group]=D$5), 0, MATCH(_xlfn.CONCAT($Q$2, "%"), #REF!, 0))=$A38, 1, 0))=0, "",SUM(IF(INDEX(_xlfn._xlws.FILTER(#REF!, tblPiNAnalysis[Population Group]=D$5), 0, MATCH(_xlfn.CONCAT($Q$2, "%"), #REF!, 0))=$A38, 1, 0)))), "")</f>
        <v/>
      </c>
      <c r="E38" s="35" t="str" cm="1">
        <f t="array" ref="E38">IFERROR(IF(OR($A38="", E$5=""), "", IF(SUM(IF(INDEX(_xlfn._xlws.FILTER(#REF!, tblPiNAnalysis[Population Group]=E$5), 0, MATCH(_xlfn.CONCAT($Q$2, "%"), #REF!, 0))=$A38, 1, 0))=0, "",SUM(IF(INDEX(_xlfn._xlws.FILTER(#REF!, tblPiNAnalysis[Population Group]=E$5), 0, MATCH(_xlfn.CONCAT($Q$2, "%"), #REF!, 0))=$A38, 1, 0)))), "")</f>
        <v/>
      </c>
      <c r="F38" s="35" t="str" cm="1">
        <f t="array" ref="F38">IFERROR(IF(OR($A38="", F$5=""), "", IF(SUM(IF(INDEX(_xlfn._xlws.FILTER(#REF!, tblPiNAnalysis[CCCM]=F$5), 0, MATCH(_xlfn.CONCAT($Q$2, "%"), #REF!, 0))=$A38, 1, 0))=0, "",SUM(IF(INDEX(_xlfn._xlws.FILTER(#REF!, tblPiNAnalysis[CCCM]=F$5), 0, MATCH(_xlfn.CONCAT($Q$2, "%"), #REF!, 0))=$A38, 1, 0)))), "")</f>
        <v/>
      </c>
      <c r="H38" s="37"/>
      <c r="I38" s="35" t="str" cm="1">
        <f t="array" ref="I38">IF($H38="", "", IF($H38=2, SUM(IF(INDEX(_xlfn._xlws.FILTER(#REF!,#REF!= I$5), 0, MATCH($Q$2,#REF!, 0))&gt;1.9, 1, 0)), IF(SUM(IF(INDEX(_xlfn._xlws.FILTER(#REF!,#REF!= I$5), 0, MATCH($Q$2,#REF!, 0))=$H38, 1, 0))=0, "", SUM(IF(INDEX(_xlfn._xlws.FILTER(#REF!,#REF!= I$5), 0, MATCH($Q$2,#REF!, 0))=$H38, 1, 0)))))</f>
        <v/>
      </c>
      <c r="J38" s="35" t="str" cm="1">
        <f t="array" ref="J38">IFERROR(IF(OR($H38="", J37=""), "", IF($H38=2, SUM(IF(INDEX(_xlfn._xlws.FILTER(#REF!,#REF!= J$5), 0, MATCH($Q$2,#REF!, 0))&gt;1.9, 1, 0)), IF(SUM(IF(INDEX(_xlfn._xlws.FILTER(#REF!,#REF!= J$5), 0, MATCH($Q$2,#REF!, 0))=$H38, 1, 0))=0, "", SUM(IF(INDEX(_xlfn._xlws.FILTER(#REF!,#REF!= J$5), 0, MATCH($Q$2,#REF!, 0))=$H38, 1, 0))))), "")</f>
        <v/>
      </c>
      <c r="K38" s="35" t="str" cm="1">
        <f t="array" ref="K38">IFERROR(IF(OR($H38="", K37=""), "", IF($H38=2, SUM(IF(INDEX(_xlfn._xlws.FILTER(#REF!,#REF!= K$5), 0, MATCH($Q$2,#REF!, 0))&gt;1.9, 1, 0)), IF(SUM(IF(INDEX(_xlfn._xlws.FILTER(#REF!,#REF!= K$5), 0, MATCH($Q$2,#REF!, 0))=$H38, 1, 0))=0, "", SUM(IF(INDEX(_xlfn._xlws.FILTER(#REF!,#REF!= K$5), 0, MATCH($Q$2,#REF!, 0))=$H38, 1, 0))))), "")</f>
        <v/>
      </c>
      <c r="L38" s="35" t="str" cm="1">
        <f t="array" ref="L38">IFERROR(IF(OR($H38="", L37=""), "", IF($H38=2, SUM(IF(INDEX(_xlfn._xlws.FILTER(#REF!,#REF!= L$5), 0, MATCH($Q$2,#REF!, 0))&gt;1.9, 1, 0)), IF(SUM(IF(INDEX(_xlfn._xlws.FILTER(#REF!,#REF!= L$5), 0, MATCH($Q$2,#REF!, 0))=$H38, 1, 0))=0, "", SUM(IF(INDEX(_xlfn._xlws.FILTER(#REF!,#REF!= L$5), 0, MATCH($Q$2,#REF!, 0))=$H38, 1, 0))))), "")</f>
        <v/>
      </c>
      <c r="M38" s="35" t="str" cm="1">
        <f t="array" ref="M38">IFERROR(IF(OR($H38="", M37=""), "", IF($H38=2, SUM(IF(INDEX(_xlfn._xlws.FILTER(#REF!,#REF!= M$5), 0, MATCH($Q$2,#REF!, 0))&gt;1.9, 1, 0)), IF(SUM(IF(INDEX(_xlfn._xlws.FILTER(#REF!,#REF!= M$5), 0, MATCH($Q$2,#REF!, 0))=$H38, 1, 0))=0, "", SUM(IF(INDEX(_xlfn._xlws.FILTER(#REF!,#REF!= M$5), 0, MATCH($Q$2,#REF!, 0))=$H38, 1, 0))))), "")</f>
        <v/>
      </c>
    </row>
    <row r="39" spans="1:28" x14ac:dyDescent="0.55000000000000004">
      <c r="A39" s="37"/>
      <c r="B39" s="35" t="str" cm="1">
        <f t="array" ref="B39">IF($A39="", "", IF(SUM(IF(INDEX(_xlfn._xlws.FILTER(#REF!, tblPiNAnalysis[Population Group]=B$5), 0, MATCH(_xlfn.CONCAT($Q$2, "%"), #REF!, 0))=$A39, 1, 0))=0, "",SUM(IF(INDEX(_xlfn._xlws.FILTER(#REF!, tblPiNAnalysis[Population Group]=B$5), 0, MATCH(_xlfn.CONCAT($Q$2, "%"), #REF!, 0))=$A39, 1, 0))))</f>
        <v/>
      </c>
      <c r="C39" s="35" t="str" cm="1">
        <f t="array" ref="C39">IFERROR(IF(OR($A39="", C$5=""), "", IF(SUM(IF(INDEX(_xlfn._xlws.FILTER(#REF!, tblPiNAnalysis[Population Group]=C$5), 0, MATCH(_xlfn.CONCAT($Q$2, "%"), #REF!, 0))=$A39, 1, 0))=0, "",SUM(IF(INDEX(_xlfn._xlws.FILTER(#REF!, tblPiNAnalysis[Population Group]=C$5), 0, MATCH(_xlfn.CONCAT($Q$2, "%"), #REF!, 0))=$A39, 1, 0)))), "")</f>
        <v/>
      </c>
      <c r="D39" s="35" t="str" cm="1">
        <f t="array" ref="D39">IFERROR(IF(OR($A39="", D$5=""), "", IF(SUM(IF(INDEX(_xlfn._xlws.FILTER(#REF!, tblPiNAnalysis[Population Group]=D$5), 0, MATCH(_xlfn.CONCAT($Q$2, "%"), #REF!, 0))=$A39, 1, 0))=0, "",SUM(IF(INDEX(_xlfn._xlws.FILTER(#REF!, tblPiNAnalysis[Population Group]=D$5), 0, MATCH(_xlfn.CONCAT($Q$2, "%"), #REF!, 0))=$A39, 1, 0)))), "")</f>
        <v/>
      </c>
      <c r="E39" s="35" t="str" cm="1">
        <f t="array" ref="E39">IFERROR(IF(OR($A39="", E$5=""), "", IF(SUM(IF(INDEX(_xlfn._xlws.FILTER(#REF!, tblPiNAnalysis[Population Group]=E$5), 0, MATCH(_xlfn.CONCAT($Q$2, "%"), #REF!, 0))=$A39, 1, 0))=0, "",SUM(IF(INDEX(_xlfn._xlws.FILTER(#REF!, tblPiNAnalysis[Population Group]=E$5), 0, MATCH(_xlfn.CONCAT($Q$2, "%"), #REF!, 0))=$A39, 1, 0)))), "")</f>
        <v/>
      </c>
      <c r="F39" s="35" t="str" cm="1">
        <f t="array" ref="F39">IFERROR(IF(OR($A39="", F$5=""), "", IF(SUM(IF(INDEX(_xlfn._xlws.FILTER(#REF!, tblPiNAnalysis[CCCM]=F$5), 0, MATCH(_xlfn.CONCAT($Q$2, "%"), #REF!, 0))=$A39, 1, 0))=0, "",SUM(IF(INDEX(_xlfn._xlws.FILTER(#REF!, tblPiNAnalysis[CCCM]=F$5), 0, MATCH(_xlfn.CONCAT($Q$2, "%"), #REF!, 0))=$A39, 1, 0)))), "")</f>
        <v/>
      </c>
      <c r="H39" s="37"/>
      <c r="I39" s="35" t="str" cm="1">
        <f t="array" ref="I39">IF($H39="", "", IF($H39=2, SUM(IF(INDEX(_xlfn._xlws.FILTER(#REF!,#REF!= I$5), 0, MATCH($Q$2,#REF!, 0))&gt;1.9, 1, 0)), IF(SUM(IF(INDEX(_xlfn._xlws.FILTER(#REF!,#REF!= I$5), 0, MATCH($Q$2,#REF!, 0))=$H39, 1, 0))=0, "", SUM(IF(INDEX(_xlfn._xlws.FILTER(#REF!,#REF!= I$5), 0, MATCH($Q$2,#REF!, 0))=$H39, 1, 0)))))</f>
        <v/>
      </c>
      <c r="J39" s="35" t="str" cm="1">
        <f t="array" ref="J39">IFERROR(IF(OR($H39="", J38=""), "", IF($H39=2, SUM(IF(INDEX(_xlfn._xlws.FILTER(#REF!,#REF!= J$5), 0, MATCH($Q$2,#REF!, 0))&gt;1.9, 1, 0)), IF(SUM(IF(INDEX(_xlfn._xlws.FILTER(#REF!,#REF!= J$5), 0, MATCH($Q$2,#REF!, 0))=$H39, 1, 0))=0, "", SUM(IF(INDEX(_xlfn._xlws.FILTER(#REF!,#REF!= J$5), 0, MATCH($Q$2,#REF!, 0))=$H39, 1, 0))))), "")</f>
        <v/>
      </c>
      <c r="K39" s="35" t="str" cm="1">
        <f t="array" ref="K39">IFERROR(IF(OR($H39="", K38=""), "", IF($H39=2, SUM(IF(INDEX(_xlfn._xlws.FILTER(#REF!,#REF!= K$5), 0, MATCH($Q$2,#REF!, 0))&gt;1.9, 1, 0)), IF(SUM(IF(INDEX(_xlfn._xlws.FILTER(#REF!,#REF!= K$5), 0, MATCH($Q$2,#REF!, 0))=$H39, 1, 0))=0, "", SUM(IF(INDEX(_xlfn._xlws.FILTER(#REF!,#REF!= K$5), 0, MATCH($Q$2,#REF!, 0))=$H39, 1, 0))))), "")</f>
        <v/>
      </c>
      <c r="L39" s="35" t="str" cm="1">
        <f t="array" ref="L39">IFERROR(IF(OR($H39="", L38=""), "", IF($H39=2, SUM(IF(INDEX(_xlfn._xlws.FILTER(#REF!,#REF!= L$5), 0, MATCH($Q$2,#REF!, 0))&gt;1.9, 1, 0)), IF(SUM(IF(INDEX(_xlfn._xlws.FILTER(#REF!,#REF!= L$5), 0, MATCH($Q$2,#REF!, 0))=$H39, 1, 0))=0, "", SUM(IF(INDEX(_xlfn._xlws.FILTER(#REF!,#REF!= L$5), 0, MATCH($Q$2,#REF!, 0))=$H39, 1, 0))))), "")</f>
        <v/>
      </c>
      <c r="M39" s="35" t="str" cm="1">
        <f t="array" ref="M39">IFERROR(IF(OR($H39="", M38=""), "", IF($H39=2, SUM(IF(INDEX(_xlfn._xlws.FILTER(#REF!,#REF!= M$5), 0, MATCH($Q$2,#REF!, 0))&gt;1.9, 1, 0)), IF(SUM(IF(INDEX(_xlfn._xlws.FILTER(#REF!,#REF!= M$5), 0, MATCH($Q$2,#REF!, 0))=$H39, 1, 0))=0, "", SUM(IF(INDEX(_xlfn._xlws.FILTER(#REF!,#REF!= M$5), 0, MATCH($Q$2,#REF!, 0))=$H39, 1, 0))))), "")</f>
        <v/>
      </c>
    </row>
    <row r="40" spans="1:28" x14ac:dyDescent="0.55000000000000004">
      <c r="A40" s="37"/>
      <c r="B40" s="35" t="str" cm="1">
        <f t="array" ref="B40">IF($A40="", "", IF(SUM(IF(INDEX(_xlfn._xlws.FILTER(#REF!, tblPiNAnalysis[Population Group]=B$5), 0, MATCH(_xlfn.CONCAT($Q$2, "%"), #REF!, 0))=$A40, 1, 0))=0, "",SUM(IF(INDEX(_xlfn._xlws.FILTER(#REF!, tblPiNAnalysis[Population Group]=B$5), 0, MATCH(_xlfn.CONCAT($Q$2, "%"), #REF!, 0))=$A40, 1, 0))))</f>
        <v/>
      </c>
      <c r="C40" s="35" t="str" cm="1">
        <f t="array" ref="C40">IFERROR(IF(OR($A40="", C$5=""), "", IF(SUM(IF(INDEX(_xlfn._xlws.FILTER(#REF!, tblPiNAnalysis[Population Group]=C$5), 0, MATCH(_xlfn.CONCAT($Q$2, "%"), #REF!, 0))=$A40, 1, 0))=0, "",SUM(IF(INDEX(_xlfn._xlws.FILTER(#REF!, tblPiNAnalysis[Population Group]=C$5), 0, MATCH(_xlfn.CONCAT($Q$2, "%"), #REF!, 0))=$A40, 1, 0)))), "")</f>
        <v/>
      </c>
      <c r="D40" s="35" t="str" cm="1">
        <f t="array" ref="D40">IFERROR(IF(OR($A40="", D$5=""), "", IF(SUM(IF(INDEX(_xlfn._xlws.FILTER(#REF!, tblPiNAnalysis[Population Group]=D$5), 0, MATCH(_xlfn.CONCAT($Q$2, "%"), #REF!, 0))=$A40, 1, 0))=0, "",SUM(IF(INDEX(_xlfn._xlws.FILTER(#REF!, tblPiNAnalysis[Population Group]=D$5), 0, MATCH(_xlfn.CONCAT($Q$2, "%"), #REF!, 0))=$A40, 1, 0)))), "")</f>
        <v/>
      </c>
      <c r="E40" s="35" t="str" cm="1">
        <f t="array" ref="E40">IFERROR(IF(OR($A40="", E$5=""), "", IF(SUM(IF(INDEX(_xlfn._xlws.FILTER(#REF!, tblPiNAnalysis[Population Group]=E$5), 0, MATCH(_xlfn.CONCAT($Q$2, "%"), #REF!, 0))=$A40, 1, 0))=0, "",SUM(IF(INDEX(_xlfn._xlws.FILTER(#REF!, tblPiNAnalysis[Population Group]=E$5), 0, MATCH(_xlfn.CONCAT($Q$2, "%"), #REF!, 0))=$A40, 1, 0)))), "")</f>
        <v/>
      </c>
      <c r="F40" s="35" t="str" cm="1">
        <f t="array" ref="F40">IFERROR(IF(OR($A40="", F$5=""), "", IF(SUM(IF(INDEX(_xlfn._xlws.FILTER(#REF!, tblPiNAnalysis[CCCM]=F$5), 0, MATCH(_xlfn.CONCAT($Q$2, "%"), #REF!, 0))=$A40, 1, 0))=0, "",SUM(IF(INDEX(_xlfn._xlws.FILTER(#REF!, tblPiNAnalysis[CCCM]=F$5), 0, MATCH(_xlfn.CONCAT($Q$2, "%"), #REF!, 0))=$A40, 1, 0)))), "")</f>
        <v/>
      </c>
      <c r="H40" s="37"/>
      <c r="I40" s="35" t="str" cm="1">
        <f t="array" ref="I40">IF($H40="", "", IF($H40=2, SUM(IF(INDEX(_xlfn._xlws.FILTER(#REF!,#REF!= I$5), 0, MATCH($Q$2,#REF!, 0))&gt;1.9, 1, 0)), IF(SUM(IF(INDEX(_xlfn._xlws.FILTER(#REF!,#REF!= I$5), 0, MATCH($Q$2,#REF!, 0))=$H40, 1, 0))=0, "", SUM(IF(INDEX(_xlfn._xlws.FILTER(#REF!,#REF!= I$5), 0, MATCH($Q$2,#REF!, 0))=$H40, 1, 0)))))</f>
        <v/>
      </c>
      <c r="J40" s="35" t="str" cm="1">
        <f t="array" ref="J40">IFERROR(IF(OR($H40="", J39=""), "", IF($H40=2, SUM(IF(INDEX(_xlfn._xlws.FILTER(#REF!,#REF!= J$5), 0, MATCH($Q$2,#REF!, 0))&gt;1.9, 1, 0)), IF(SUM(IF(INDEX(_xlfn._xlws.FILTER(#REF!,#REF!= J$5), 0, MATCH($Q$2,#REF!, 0))=$H40, 1, 0))=0, "", SUM(IF(INDEX(_xlfn._xlws.FILTER(#REF!,#REF!= J$5), 0, MATCH($Q$2,#REF!, 0))=$H40, 1, 0))))), "")</f>
        <v/>
      </c>
      <c r="K40" s="35" t="str" cm="1">
        <f t="array" ref="K40">IFERROR(IF(OR($H40="", K39=""), "", IF($H40=2, SUM(IF(INDEX(_xlfn._xlws.FILTER(#REF!,#REF!= K$5), 0, MATCH($Q$2,#REF!, 0))&gt;1.9, 1, 0)), IF(SUM(IF(INDEX(_xlfn._xlws.FILTER(#REF!,#REF!= K$5), 0, MATCH($Q$2,#REF!, 0))=$H40, 1, 0))=0, "", SUM(IF(INDEX(_xlfn._xlws.FILTER(#REF!,#REF!= K$5), 0, MATCH($Q$2,#REF!, 0))=$H40, 1, 0))))), "")</f>
        <v/>
      </c>
      <c r="L40" s="35" t="str" cm="1">
        <f t="array" ref="L40">IFERROR(IF(OR($H40="", L39=""), "", IF($H40=2, SUM(IF(INDEX(_xlfn._xlws.FILTER(#REF!,#REF!= L$5), 0, MATCH($Q$2,#REF!, 0))&gt;1.9, 1, 0)), IF(SUM(IF(INDEX(_xlfn._xlws.FILTER(#REF!,#REF!= L$5), 0, MATCH($Q$2,#REF!, 0))=$H40, 1, 0))=0, "", SUM(IF(INDEX(_xlfn._xlws.FILTER(#REF!,#REF!= L$5), 0, MATCH($Q$2,#REF!, 0))=$H40, 1, 0))))), "")</f>
        <v/>
      </c>
      <c r="M40" s="35" t="str" cm="1">
        <f t="array" ref="M40">IFERROR(IF(OR($H40="", M39=""), "", IF($H40=2, SUM(IF(INDEX(_xlfn._xlws.FILTER(#REF!,#REF!= M$5), 0, MATCH($Q$2,#REF!, 0))&gt;1.9, 1, 0)), IF(SUM(IF(INDEX(_xlfn._xlws.FILTER(#REF!,#REF!= M$5), 0, MATCH($Q$2,#REF!, 0))=$H40, 1, 0))=0, "", SUM(IF(INDEX(_xlfn._xlws.FILTER(#REF!,#REF!= M$5), 0, MATCH($Q$2,#REF!, 0))=$H40, 1, 0))))), "")</f>
        <v/>
      </c>
    </row>
    <row r="41" spans="1:28" x14ac:dyDescent="0.55000000000000004">
      <c r="A41" s="37"/>
      <c r="B41" s="35" t="str" cm="1">
        <f t="array" ref="B41">IF($A41="", "", IF(SUM(IF(INDEX(_xlfn._xlws.FILTER(#REF!, tblPiNAnalysis[Population Group]=B$5), 0, MATCH(_xlfn.CONCAT($Q$2, "%"), #REF!, 0))=$A41, 1, 0))=0, "",SUM(IF(INDEX(_xlfn._xlws.FILTER(#REF!, tblPiNAnalysis[Population Group]=B$5), 0, MATCH(_xlfn.CONCAT($Q$2, "%"), #REF!, 0))=$A41, 1, 0))))</f>
        <v/>
      </c>
      <c r="C41" s="35" t="str" cm="1">
        <f t="array" ref="C41">IFERROR(IF(OR($A41="", C$5=""), "", IF(SUM(IF(INDEX(_xlfn._xlws.FILTER(#REF!, tblPiNAnalysis[Population Group]=C$5), 0, MATCH(_xlfn.CONCAT($Q$2, "%"), #REF!, 0))=$A41, 1, 0))=0, "",SUM(IF(INDEX(_xlfn._xlws.FILTER(#REF!, tblPiNAnalysis[Population Group]=C$5), 0, MATCH(_xlfn.CONCAT($Q$2, "%"), #REF!, 0))=$A41, 1, 0)))), "")</f>
        <v/>
      </c>
      <c r="D41" s="35" t="str" cm="1">
        <f t="array" ref="D41">IFERROR(IF(OR($A41="", D$5=""), "", IF(SUM(IF(INDEX(_xlfn._xlws.FILTER(#REF!, tblPiNAnalysis[Population Group]=D$5), 0, MATCH(_xlfn.CONCAT($Q$2, "%"), #REF!, 0))=$A41, 1, 0))=0, "",SUM(IF(INDEX(_xlfn._xlws.FILTER(#REF!, tblPiNAnalysis[Population Group]=D$5), 0, MATCH(_xlfn.CONCAT($Q$2, "%"), #REF!, 0))=$A41, 1, 0)))), "")</f>
        <v/>
      </c>
      <c r="E41" s="35" t="str" cm="1">
        <f t="array" ref="E41">IFERROR(IF(OR($A41="", E$5=""), "", IF(SUM(IF(INDEX(_xlfn._xlws.FILTER(#REF!, tblPiNAnalysis[Population Group]=E$5), 0, MATCH(_xlfn.CONCAT($Q$2, "%"), #REF!, 0))=$A41, 1, 0))=0, "",SUM(IF(INDEX(_xlfn._xlws.FILTER(#REF!, tblPiNAnalysis[Population Group]=E$5), 0, MATCH(_xlfn.CONCAT($Q$2, "%"), #REF!, 0))=$A41, 1, 0)))), "")</f>
        <v/>
      </c>
      <c r="F41" s="35" t="str" cm="1">
        <f t="array" ref="F41">IFERROR(IF(OR($A41="", F$5=""), "", IF(SUM(IF(INDEX(_xlfn._xlws.FILTER(#REF!, tblPiNAnalysis[CCCM]=F$5), 0, MATCH(_xlfn.CONCAT($Q$2, "%"), #REF!, 0))=$A41, 1, 0))=0, "",SUM(IF(INDEX(_xlfn._xlws.FILTER(#REF!, tblPiNAnalysis[CCCM]=F$5), 0, MATCH(_xlfn.CONCAT($Q$2, "%"), #REF!, 0))=$A41, 1, 0)))), "")</f>
        <v/>
      </c>
      <c r="H41" s="37"/>
      <c r="I41" s="35" t="str" cm="1">
        <f t="array" ref="I41">IF($H41="", "", IF($H41=2, SUM(IF(INDEX(_xlfn._xlws.FILTER(#REF!,#REF!= I$5), 0, MATCH($Q$2,#REF!, 0))&gt;1.9, 1, 0)), IF(SUM(IF(INDEX(_xlfn._xlws.FILTER(#REF!,#REF!= I$5), 0, MATCH($Q$2,#REF!, 0))=$H41, 1, 0))=0, "", SUM(IF(INDEX(_xlfn._xlws.FILTER(#REF!,#REF!= I$5), 0, MATCH($Q$2,#REF!, 0))=$H41, 1, 0)))))</f>
        <v/>
      </c>
      <c r="J41" s="35" t="str" cm="1">
        <f t="array" ref="J41">IFERROR(IF(OR($H41="", J40=""), "", IF($H41=2, SUM(IF(INDEX(_xlfn._xlws.FILTER(#REF!,#REF!= J$5), 0, MATCH($Q$2,#REF!, 0))&gt;1.9, 1, 0)), IF(SUM(IF(INDEX(_xlfn._xlws.FILTER(#REF!,#REF!= J$5), 0, MATCH($Q$2,#REF!, 0))=$H41, 1, 0))=0, "", SUM(IF(INDEX(_xlfn._xlws.FILTER(#REF!,#REF!= J$5), 0, MATCH($Q$2,#REF!, 0))=$H41, 1, 0))))), "")</f>
        <v/>
      </c>
      <c r="K41" s="35" t="str" cm="1">
        <f t="array" ref="K41">IFERROR(IF(OR($H41="", K40=""), "", IF($H41=2, SUM(IF(INDEX(_xlfn._xlws.FILTER(#REF!,#REF!= K$5), 0, MATCH($Q$2,#REF!, 0))&gt;1.9, 1, 0)), IF(SUM(IF(INDEX(_xlfn._xlws.FILTER(#REF!,#REF!= K$5), 0, MATCH($Q$2,#REF!, 0))=$H41, 1, 0))=0, "", SUM(IF(INDEX(_xlfn._xlws.FILTER(#REF!,#REF!= K$5), 0, MATCH($Q$2,#REF!, 0))=$H41, 1, 0))))), "")</f>
        <v/>
      </c>
      <c r="L41" s="35" t="str" cm="1">
        <f t="array" ref="L41">IFERROR(IF(OR($H41="", L40=""), "", IF($H41=2, SUM(IF(INDEX(_xlfn._xlws.FILTER(#REF!,#REF!= L$5), 0, MATCH($Q$2,#REF!, 0))&gt;1.9, 1, 0)), IF(SUM(IF(INDEX(_xlfn._xlws.FILTER(#REF!,#REF!= L$5), 0, MATCH($Q$2,#REF!, 0))=$H41, 1, 0))=0, "", SUM(IF(INDEX(_xlfn._xlws.FILTER(#REF!,#REF!= L$5), 0, MATCH($Q$2,#REF!, 0))=$H41, 1, 0))))), "")</f>
        <v/>
      </c>
      <c r="M41" s="35" t="str" cm="1">
        <f t="array" ref="M41">IFERROR(IF(OR($H41="", M40=""), "", IF($H41=2, SUM(IF(INDEX(_xlfn._xlws.FILTER(#REF!,#REF!= M$5), 0, MATCH($Q$2,#REF!, 0))&gt;1.9, 1, 0)), IF(SUM(IF(INDEX(_xlfn._xlws.FILTER(#REF!,#REF!= M$5), 0, MATCH($Q$2,#REF!, 0))=$H41, 1, 0))=0, "", SUM(IF(INDEX(_xlfn._xlws.FILTER(#REF!,#REF!= M$5), 0, MATCH($Q$2,#REF!, 0))=$H41, 1, 0))))), "")</f>
        <v/>
      </c>
    </row>
    <row r="42" spans="1:28" x14ac:dyDescent="0.55000000000000004">
      <c r="A42" s="37"/>
      <c r="B42" s="35" t="str" cm="1">
        <f t="array" ref="B42">IF($A42="", "", IF(SUM(IF(INDEX(_xlfn._xlws.FILTER(#REF!, tblPiNAnalysis[Population Group]=B$5), 0, MATCH(_xlfn.CONCAT($Q$2, "%"), #REF!, 0))=$A42, 1, 0))=0, "",SUM(IF(INDEX(_xlfn._xlws.FILTER(#REF!, tblPiNAnalysis[Population Group]=B$5), 0, MATCH(_xlfn.CONCAT($Q$2, "%"), #REF!, 0))=$A42, 1, 0))))</f>
        <v/>
      </c>
      <c r="C42" s="35" t="str" cm="1">
        <f t="array" ref="C42">IFERROR(IF(OR($A42="", C$5=""), "", IF(SUM(IF(INDEX(_xlfn._xlws.FILTER(#REF!, tblPiNAnalysis[Population Group]=C$5), 0, MATCH(_xlfn.CONCAT($Q$2, "%"), #REF!, 0))=$A42, 1, 0))=0, "",SUM(IF(INDEX(_xlfn._xlws.FILTER(#REF!, tblPiNAnalysis[Population Group]=C$5), 0, MATCH(_xlfn.CONCAT($Q$2, "%"), #REF!, 0))=$A42, 1, 0)))), "")</f>
        <v/>
      </c>
      <c r="D42" s="35" t="str" cm="1">
        <f t="array" ref="D42">IFERROR(IF(OR($A42="", D$5=""), "", IF(SUM(IF(INDEX(_xlfn._xlws.FILTER(#REF!, tblPiNAnalysis[Population Group]=D$5), 0, MATCH(_xlfn.CONCAT($Q$2, "%"), #REF!, 0))=$A42, 1, 0))=0, "",SUM(IF(INDEX(_xlfn._xlws.FILTER(#REF!, tblPiNAnalysis[Population Group]=D$5), 0, MATCH(_xlfn.CONCAT($Q$2, "%"), #REF!, 0))=$A42, 1, 0)))), "")</f>
        <v/>
      </c>
      <c r="E42" s="35" t="str" cm="1">
        <f t="array" ref="E42">IFERROR(IF(OR($A42="", E$5=""), "", IF(SUM(IF(INDEX(_xlfn._xlws.FILTER(#REF!, tblPiNAnalysis[Population Group]=E$5), 0, MATCH(_xlfn.CONCAT($Q$2, "%"), #REF!, 0))=$A42, 1, 0))=0, "",SUM(IF(INDEX(_xlfn._xlws.FILTER(#REF!, tblPiNAnalysis[Population Group]=E$5), 0, MATCH(_xlfn.CONCAT($Q$2, "%"), #REF!, 0))=$A42, 1, 0)))), "")</f>
        <v/>
      </c>
      <c r="F42" s="35" t="str" cm="1">
        <f t="array" ref="F42">IFERROR(IF(OR($A42="", F$5=""), "", IF(SUM(IF(INDEX(_xlfn._xlws.FILTER(#REF!, tblPiNAnalysis[CCCM]=F$5), 0, MATCH(_xlfn.CONCAT($Q$2, "%"), #REF!, 0))=$A42, 1, 0))=0, "",SUM(IF(INDEX(_xlfn._xlws.FILTER(#REF!, tblPiNAnalysis[CCCM]=F$5), 0, MATCH(_xlfn.CONCAT($Q$2, "%"), #REF!, 0))=$A42, 1, 0)))), "")</f>
        <v/>
      </c>
      <c r="H42" s="37"/>
      <c r="I42" s="35" t="str" cm="1">
        <f t="array" ref="I42">IF($H42="", "", IF($H42=2, SUM(IF(INDEX(_xlfn._xlws.FILTER(#REF!,#REF!= I$5), 0, MATCH($Q$2,#REF!, 0))&gt;1.9, 1, 0)), IF(SUM(IF(INDEX(_xlfn._xlws.FILTER(#REF!,#REF!= I$5), 0, MATCH($Q$2,#REF!, 0))=$H42, 1, 0))=0, "", SUM(IF(INDEX(_xlfn._xlws.FILTER(#REF!,#REF!= I$5), 0, MATCH($Q$2,#REF!, 0))=$H42, 1, 0)))))</f>
        <v/>
      </c>
      <c r="J42" s="35" t="str" cm="1">
        <f t="array" ref="J42">IFERROR(IF(OR($H42="", J41=""), "", IF($H42=2, SUM(IF(INDEX(_xlfn._xlws.FILTER(#REF!,#REF!= J$5), 0, MATCH($Q$2,#REF!, 0))&gt;1.9, 1, 0)), IF(SUM(IF(INDEX(_xlfn._xlws.FILTER(#REF!,#REF!= J$5), 0, MATCH($Q$2,#REF!, 0))=$H42, 1, 0))=0, "", SUM(IF(INDEX(_xlfn._xlws.FILTER(#REF!,#REF!= J$5), 0, MATCH($Q$2,#REF!, 0))=$H42, 1, 0))))), "")</f>
        <v/>
      </c>
      <c r="K42" s="35" t="str" cm="1">
        <f t="array" ref="K42">IFERROR(IF(OR($H42="", K41=""), "", IF($H42=2, SUM(IF(INDEX(_xlfn._xlws.FILTER(#REF!,#REF!= K$5), 0, MATCH($Q$2,#REF!, 0))&gt;1.9, 1, 0)), IF(SUM(IF(INDEX(_xlfn._xlws.FILTER(#REF!,#REF!= K$5), 0, MATCH($Q$2,#REF!, 0))=$H42, 1, 0))=0, "", SUM(IF(INDEX(_xlfn._xlws.FILTER(#REF!,#REF!= K$5), 0, MATCH($Q$2,#REF!, 0))=$H42, 1, 0))))), "")</f>
        <v/>
      </c>
      <c r="L42" s="35" t="str" cm="1">
        <f t="array" ref="L42">IFERROR(IF(OR($H42="", L41=""), "", IF($H42=2, SUM(IF(INDEX(_xlfn._xlws.FILTER(#REF!,#REF!= L$5), 0, MATCH($Q$2,#REF!, 0))&gt;1.9, 1, 0)), IF(SUM(IF(INDEX(_xlfn._xlws.FILTER(#REF!,#REF!= L$5), 0, MATCH($Q$2,#REF!, 0))=$H42, 1, 0))=0, "", SUM(IF(INDEX(_xlfn._xlws.FILTER(#REF!,#REF!= L$5), 0, MATCH($Q$2,#REF!, 0))=$H42, 1, 0))))), "")</f>
        <v/>
      </c>
      <c r="M42" s="35" t="str" cm="1">
        <f t="array" ref="M42">IFERROR(IF(OR($H42="", M41=""), "", IF($H42=2, SUM(IF(INDEX(_xlfn._xlws.FILTER(#REF!,#REF!= M$5), 0, MATCH($Q$2,#REF!, 0))&gt;1.9, 1, 0)), IF(SUM(IF(INDEX(_xlfn._xlws.FILTER(#REF!,#REF!= M$5), 0, MATCH($Q$2,#REF!, 0))=$H42, 1, 0))=0, "", SUM(IF(INDEX(_xlfn._xlws.FILTER(#REF!,#REF!= M$5), 0, MATCH($Q$2,#REF!, 0))=$H42, 1, 0))))), "")</f>
        <v/>
      </c>
    </row>
    <row r="43" spans="1:28" x14ac:dyDescent="0.55000000000000004">
      <c r="A43" s="37"/>
      <c r="B43" s="35" t="str" cm="1">
        <f t="array" ref="B43">IF($A43="", "", IF(SUM(IF(INDEX(_xlfn._xlws.FILTER(#REF!, tblPiNAnalysis[Population Group]=B$5), 0, MATCH(_xlfn.CONCAT($Q$2, "%"), #REF!, 0))=$A43, 1, 0))=0, "",SUM(IF(INDEX(_xlfn._xlws.FILTER(#REF!, tblPiNAnalysis[Population Group]=B$5), 0, MATCH(_xlfn.CONCAT($Q$2, "%"), #REF!, 0))=$A43, 1, 0))))</f>
        <v/>
      </c>
      <c r="C43" s="35" t="str" cm="1">
        <f t="array" ref="C43">IFERROR(IF(OR($A43="", C$5=""), "", IF(SUM(IF(INDEX(_xlfn._xlws.FILTER(#REF!, tblPiNAnalysis[Population Group]=C$5), 0, MATCH(_xlfn.CONCAT($Q$2, "%"), #REF!, 0))=$A43, 1, 0))=0, "",SUM(IF(INDEX(_xlfn._xlws.FILTER(#REF!, tblPiNAnalysis[Population Group]=C$5), 0, MATCH(_xlfn.CONCAT($Q$2, "%"), #REF!, 0))=$A43, 1, 0)))), "")</f>
        <v/>
      </c>
      <c r="D43" s="35" t="str" cm="1">
        <f t="array" ref="D43">IFERROR(IF(OR($A43="", D$5=""), "", IF(SUM(IF(INDEX(_xlfn._xlws.FILTER(#REF!, tblPiNAnalysis[Population Group]=D$5), 0, MATCH(_xlfn.CONCAT($Q$2, "%"), #REF!, 0))=$A43, 1, 0))=0, "",SUM(IF(INDEX(_xlfn._xlws.FILTER(#REF!, tblPiNAnalysis[Population Group]=D$5), 0, MATCH(_xlfn.CONCAT($Q$2, "%"), #REF!, 0))=$A43, 1, 0)))), "")</f>
        <v/>
      </c>
      <c r="E43" s="35" t="str" cm="1">
        <f t="array" ref="E43">IFERROR(IF(OR($A43="", E$5=""), "", IF(SUM(IF(INDEX(_xlfn._xlws.FILTER(#REF!, tblPiNAnalysis[Population Group]=E$5), 0, MATCH(_xlfn.CONCAT($Q$2, "%"), #REF!, 0))=$A43, 1, 0))=0, "",SUM(IF(INDEX(_xlfn._xlws.FILTER(#REF!, tblPiNAnalysis[Population Group]=E$5), 0, MATCH(_xlfn.CONCAT($Q$2, "%"), #REF!, 0))=$A43, 1, 0)))), "")</f>
        <v/>
      </c>
      <c r="F43" s="35" t="str" cm="1">
        <f t="array" ref="F43">IFERROR(IF(OR($A43="", F$5=""), "", IF(SUM(IF(INDEX(_xlfn._xlws.FILTER(#REF!, tblPiNAnalysis[CCCM]=F$5), 0, MATCH(_xlfn.CONCAT($Q$2, "%"), #REF!, 0))=$A43, 1, 0))=0, "",SUM(IF(INDEX(_xlfn._xlws.FILTER(#REF!, tblPiNAnalysis[CCCM]=F$5), 0, MATCH(_xlfn.CONCAT($Q$2, "%"), #REF!, 0))=$A43, 1, 0)))), "")</f>
        <v/>
      </c>
      <c r="H43" s="37"/>
      <c r="I43" s="35" t="str" cm="1">
        <f t="array" ref="I43">IF($H43="", "", IF($H43=2, SUM(IF(INDEX(_xlfn._xlws.FILTER(#REF!,#REF!= I$5), 0, MATCH($Q$2,#REF!, 0))&gt;1.9, 1, 0)), IF(SUM(IF(INDEX(_xlfn._xlws.FILTER(#REF!,#REF!= I$5), 0, MATCH($Q$2,#REF!, 0))=$H43, 1, 0))=0, "", SUM(IF(INDEX(_xlfn._xlws.FILTER(#REF!,#REF!= I$5), 0, MATCH($Q$2,#REF!, 0))=$H43, 1, 0)))))</f>
        <v/>
      </c>
      <c r="J43" s="35" t="str" cm="1">
        <f t="array" ref="J43">IFERROR(IF(OR($H43="", J42=""), "", IF($H43=2, SUM(IF(INDEX(_xlfn._xlws.FILTER(#REF!,#REF!= J$5), 0, MATCH($Q$2,#REF!, 0))&gt;1.9, 1, 0)), IF(SUM(IF(INDEX(_xlfn._xlws.FILTER(#REF!,#REF!= J$5), 0, MATCH($Q$2,#REF!, 0))=$H43, 1, 0))=0, "", SUM(IF(INDEX(_xlfn._xlws.FILTER(#REF!,#REF!= J$5), 0, MATCH($Q$2,#REF!, 0))=$H43, 1, 0))))), "")</f>
        <v/>
      </c>
      <c r="K43" s="35" t="str" cm="1">
        <f t="array" ref="K43">IFERROR(IF(OR($H43="", K42=""), "", IF($H43=2, SUM(IF(INDEX(_xlfn._xlws.FILTER(#REF!,#REF!= K$5), 0, MATCH($Q$2,#REF!, 0))&gt;1.9, 1, 0)), IF(SUM(IF(INDEX(_xlfn._xlws.FILTER(#REF!,#REF!= K$5), 0, MATCH($Q$2,#REF!, 0))=$H43, 1, 0))=0, "", SUM(IF(INDEX(_xlfn._xlws.FILTER(#REF!,#REF!= K$5), 0, MATCH($Q$2,#REF!, 0))=$H43, 1, 0))))), "")</f>
        <v/>
      </c>
      <c r="L43" s="35" t="str" cm="1">
        <f t="array" ref="L43">IFERROR(IF(OR($H43="", L42=""), "", IF($H43=2, SUM(IF(INDEX(_xlfn._xlws.FILTER(#REF!,#REF!= L$5), 0, MATCH($Q$2,#REF!, 0))&gt;1.9, 1, 0)), IF(SUM(IF(INDEX(_xlfn._xlws.FILTER(#REF!,#REF!= L$5), 0, MATCH($Q$2,#REF!, 0))=$H43, 1, 0))=0, "", SUM(IF(INDEX(_xlfn._xlws.FILTER(#REF!,#REF!= L$5), 0, MATCH($Q$2,#REF!, 0))=$H43, 1, 0))))), "")</f>
        <v/>
      </c>
      <c r="M43" s="35" t="str" cm="1">
        <f t="array" ref="M43">IFERROR(IF(OR($H43="", M42=""), "", IF($H43=2, SUM(IF(INDEX(_xlfn._xlws.FILTER(#REF!,#REF!= M$5), 0, MATCH($Q$2,#REF!, 0))&gt;1.9, 1, 0)), IF(SUM(IF(INDEX(_xlfn._xlws.FILTER(#REF!,#REF!= M$5), 0, MATCH($Q$2,#REF!, 0))=$H43, 1, 0))=0, "", SUM(IF(INDEX(_xlfn._xlws.FILTER(#REF!,#REF!= M$5), 0, MATCH($Q$2,#REF!, 0))=$H43, 1, 0))))), "")</f>
        <v/>
      </c>
    </row>
    <row r="44" spans="1:28" x14ac:dyDescent="0.55000000000000004">
      <c r="A44" s="37"/>
      <c r="B44" s="35" t="str" cm="1">
        <f t="array" ref="B44">IF($A44="", "", IF(SUM(IF(INDEX(_xlfn._xlws.FILTER(#REF!, tblPiNAnalysis[Population Group]=B$5), 0, MATCH(_xlfn.CONCAT($Q$2, "%"), #REF!, 0))=$A44, 1, 0))=0, "",SUM(IF(INDEX(_xlfn._xlws.FILTER(#REF!, tblPiNAnalysis[Population Group]=B$5), 0, MATCH(_xlfn.CONCAT($Q$2, "%"), #REF!, 0))=$A44, 1, 0))))</f>
        <v/>
      </c>
      <c r="C44" s="35" t="str" cm="1">
        <f t="array" ref="C44">IFERROR(IF(OR($A44="", C$5=""), "", IF(SUM(IF(INDEX(_xlfn._xlws.FILTER(#REF!, tblPiNAnalysis[Population Group]=C$5), 0, MATCH(_xlfn.CONCAT($Q$2, "%"), #REF!, 0))=$A44, 1, 0))=0, "",SUM(IF(INDEX(_xlfn._xlws.FILTER(#REF!, tblPiNAnalysis[Population Group]=C$5), 0, MATCH(_xlfn.CONCAT($Q$2, "%"), #REF!, 0))=$A44, 1, 0)))), "")</f>
        <v/>
      </c>
      <c r="D44" s="35" t="str" cm="1">
        <f t="array" ref="D44">IFERROR(IF(OR($A44="", D$5=""), "", IF(SUM(IF(INDEX(_xlfn._xlws.FILTER(#REF!, tblPiNAnalysis[Population Group]=D$5), 0, MATCH(_xlfn.CONCAT($Q$2, "%"), #REF!, 0))=$A44, 1, 0))=0, "",SUM(IF(INDEX(_xlfn._xlws.FILTER(#REF!, tblPiNAnalysis[Population Group]=D$5), 0, MATCH(_xlfn.CONCAT($Q$2, "%"), #REF!, 0))=$A44, 1, 0)))), "")</f>
        <v/>
      </c>
      <c r="E44" s="35" t="str" cm="1">
        <f t="array" ref="E44">IFERROR(IF(OR($A44="", E$5=""), "", IF(SUM(IF(INDEX(_xlfn._xlws.FILTER(#REF!, tblPiNAnalysis[Population Group]=E$5), 0, MATCH(_xlfn.CONCAT($Q$2, "%"), #REF!, 0))=$A44, 1, 0))=0, "",SUM(IF(INDEX(_xlfn._xlws.FILTER(#REF!, tblPiNAnalysis[Population Group]=E$5), 0, MATCH(_xlfn.CONCAT($Q$2, "%"), #REF!, 0))=$A44, 1, 0)))), "")</f>
        <v/>
      </c>
      <c r="F44" s="35" t="str" cm="1">
        <f t="array" ref="F44">IFERROR(IF(OR($A44="", F$5=""), "", IF(SUM(IF(INDEX(_xlfn._xlws.FILTER(#REF!, tblPiNAnalysis[CCCM]=F$5), 0, MATCH(_xlfn.CONCAT($Q$2, "%"), #REF!, 0))=$A44, 1, 0))=0, "",SUM(IF(INDEX(_xlfn._xlws.FILTER(#REF!, tblPiNAnalysis[CCCM]=F$5), 0, MATCH(_xlfn.CONCAT($Q$2, "%"), #REF!, 0))=$A44, 1, 0)))), "")</f>
        <v/>
      </c>
      <c r="H44" s="37"/>
      <c r="I44" s="35" t="str" cm="1">
        <f t="array" ref="I44">IF($H44="", "", IF($H44=2, SUM(IF(INDEX(_xlfn._xlws.FILTER(#REF!,#REF!= I$5), 0, MATCH($Q$2,#REF!, 0))&gt;1.9, 1, 0)), IF(SUM(IF(INDEX(_xlfn._xlws.FILTER(#REF!,#REF!= I$5), 0, MATCH($Q$2,#REF!, 0))=$H44, 1, 0))=0, "", SUM(IF(INDEX(_xlfn._xlws.FILTER(#REF!,#REF!= I$5), 0, MATCH($Q$2,#REF!, 0))=$H44, 1, 0)))))</f>
        <v/>
      </c>
      <c r="J44" s="35" t="str" cm="1">
        <f t="array" ref="J44">IFERROR(IF(OR($H44="", J43=""), "", IF($H44=2, SUM(IF(INDEX(_xlfn._xlws.FILTER(#REF!,#REF!= J$5), 0, MATCH($Q$2,#REF!, 0))&gt;1.9, 1, 0)), IF(SUM(IF(INDEX(_xlfn._xlws.FILTER(#REF!,#REF!= J$5), 0, MATCH($Q$2,#REF!, 0))=$H44, 1, 0))=0, "", SUM(IF(INDEX(_xlfn._xlws.FILTER(#REF!,#REF!= J$5), 0, MATCH($Q$2,#REF!, 0))=$H44, 1, 0))))), "")</f>
        <v/>
      </c>
      <c r="K44" s="35" t="str" cm="1">
        <f t="array" ref="K44">IFERROR(IF(OR($H44="", K43=""), "", IF($H44=2, SUM(IF(INDEX(_xlfn._xlws.FILTER(#REF!,#REF!= K$5), 0, MATCH($Q$2,#REF!, 0))&gt;1.9, 1, 0)), IF(SUM(IF(INDEX(_xlfn._xlws.FILTER(#REF!,#REF!= K$5), 0, MATCH($Q$2,#REF!, 0))=$H44, 1, 0))=0, "", SUM(IF(INDEX(_xlfn._xlws.FILTER(#REF!,#REF!= K$5), 0, MATCH($Q$2,#REF!, 0))=$H44, 1, 0))))), "")</f>
        <v/>
      </c>
      <c r="L44" s="35" t="str" cm="1">
        <f t="array" ref="L44">IFERROR(IF(OR($H44="", L43=""), "", IF($H44=2, SUM(IF(INDEX(_xlfn._xlws.FILTER(#REF!,#REF!= L$5), 0, MATCH($Q$2,#REF!, 0))&gt;1.9, 1, 0)), IF(SUM(IF(INDEX(_xlfn._xlws.FILTER(#REF!,#REF!= L$5), 0, MATCH($Q$2,#REF!, 0))=$H44, 1, 0))=0, "", SUM(IF(INDEX(_xlfn._xlws.FILTER(#REF!,#REF!= L$5), 0, MATCH($Q$2,#REF!, 0))=$H44, 1, 0))))), "")</f>
        <v/>
      </c>
      <c r="M44" s="35" t="str" cm="1">
        <f t="array" ref="M44">IFERROR(IF(OR($H44="", M43=""), "", IF($H44=2, SUM(IF(INDEX(_xlfn._xlws.FILTER(#REF!,#REF!= M$5), 0, MATCH($Q$2,#REF!, 0))&gt;1.9, 1, 0)), IF(SUM(IF(INDEX(_xlfn._xlws.FILTER(#REF!,#REF!= M$5), 0, MATCH($Q$2,#REF!, 0))=$H44, 1, 0))=0, "", SUM(IF(INDEX(_xlfn._xlws.FILTER(#REF!,#REF!= M$5), 0, MATCH($Q$2,#REF!, 0))=$H44, 1, 0))))), "")</f>
        <v/>
      </c>
    </row>
    <row r="45" spans="1:28" x14ac:dyDescent="0.55000000000000004">
      <c r="A45" s="37"/>
      <c r="B45" s="35" t="str" cm="1">
        <f t="array" ref="B45">IF($A45="", "", IF(SUM(IF(INDEX(_xlfn._xlws.FILTER(#REF!, tblPiNAnalysis[Population Group]=B$5), 0, MATCH(_xlfn.CONCAT($Q$2, "%"), #REF!, 0))=$A45, 1, 0))=0, "",SUM(IF(INDEX(_xlfn._xlws.FILTER(#REF!, tblPiNAnalysis[Population Group]=B$5), 0, MATCH(_xlfn.CONCAT($Q$2, "%"), #REF!, 0))=$A45, 1, 0))))</f>
        <v/>
      </c>
      <c r="C45" s="35" t="str" cm="1">
        <f t="array" ref="C45">IFERROR(IF(OR($A45="", C$5=""), "", IF(SUM(IF(INDEX(_xlfn._xlws.FILTER(#REF!, tblPiNAnalysis[Population Group]=C$5), 0, MATCH(_xlfn.CONCAT($Q$2, "%"), #REF!, 0))=$A45, 1, 0))=0, "",SUM(IF(INDEX(_xlfn._xlws.FILTER(#REF!, tblPiNAnalysis[Population Group]=C$5), 0, MATCH(_xlfn.CONCAT($Q$2, "%"), #REF!, 0))=$A45, 1, 0)))), "")</f>
        <v/>
      </c>
      <c r="D45" s="35" t="str" cm="1">
        <f t="array" ref="D45">IFERROR(IF(OR($A45="", D$5=""), "", IF(SUM(IF(INDEX(_xlfn._xlws.FILTER(#REF!, tblPiNAnalysis[Population Group]=D$5), 0, MATCH(_xlfn.CONCAT($Q$2, "%"), #REF!, 0))=$A45, 1, 0))=0, "",SUM(IF(INDEX(_xlfn._xlws.FILTER(#REF!, tblPiNAnalysis[Population Group]=D$5), 0, MATCH(_xlfn.CONCAT($Q$2, "%"), #REF!, 0))=$A45, 1, 0)))), "")</f>
        <v/>
      </c>
      <c r="E45" s="35" t="str" cm="1">
        <f t="array" ref="E45">IFERROR(IF(OR($A45="", E$5=""), "", IF(SUM(IF(INDEX(_xlfn._xlws.FILTER(#REF!, tblPiNAnalysis[Population Group]=E$5), 0, MATCH(_xlfn.CONCAT($Q$2, "%"), #REF!, 0))=$A45, 1, 0))=0, "",SUM(IF(INDEX(_xlfn._xlws.FILTER(#REF!, tblPiNAnalysis[Population Group]=E$5), 0, MATCH(_xlfn.CONCAT($Q$2, "%"), #REF!, 0))=$A45, 1, 0)))), "")</f>
        <v/>
      </c>
      <c r="F45" s="35" t="str" cm="1">
        <f t="array" ref="F45">IFERROR(IF(OR($A45="", F$5=""), "", IF(SUM(IF(INDEX(_xlfn._xlws.FILTER(#REF!, tblPiNAnalysis[CCCM]=F$5), 0, MATCH(_xlfn.CONCAT($Q$2, "%"), #REF!, 0))=$A45, 1, 0))=0, "",SUM(IF(INDEX(_xlfn._xlws.FILTER(#REF!, tblPiNAnalysis[CCCM]=F$5), 0, MATCH(_xlfn.CONCAT($Q$2, "%"), #REF!, 0))=$A45, 1, 0)))), "")</f>
        <v/>
      </c>
      <c r="H45" s="37"/>
      <c r="I45" s="35" t="str" cm="1">
        <f t="array" ref="I45">IF($H45="", "", IF($H45=2, SUM(IF(INDEX(_xlfn._xlws.FILTER(#REF!,#REF!= I$5), 0, MATCH($Q$2,#REF!, 0))&gt;1.9, 1, 0)), IF(SUM(IF(INDEX(_xlfn._xlws.FILTER(#REF!,#REF!= I$5), 0, MATCH($Q$2,#REF!, 0))=$H45, 1, 0))=0, "", SUM(IF(INDEX(_xlfn._xlws.FILTER(#REF!,#REF!= I$5), 0, MATCH($Q$2,#REF!, 0))=$H45, 1, 0)))))</f>
        <v/>
      </c>
      <c r="J45" s="35" t="str" cm="1">
        <f t="array" ref="J45">IFERROR(IF(OR($H45="", J44=""), "", IF($H45=2, SUM(IF(INDEX(_xlfn._xlws.FILTER(#REF!,#REF!= J$5), 0, MATCH($Q$2,#REF!, 0))&gt;1.9, 1, 0)), IF(SUM(IF(INDEX(_xlfn._xlws.FILTER(#REF!,#REF!= J$5), 0, MATCH($Q$2,#REF!, 0))=$H45, 1, 0))=0, "", SUM(IF(INDEX(_xlfn._xlws.FILTER(#REF!,#REF!= J$5), 0, MATCH($Q$2,#REF!, 0))=$H45, 1, 0))))), "")</f>
        <v/>
      </c>
      <c r="K45" s="35" t="str" cm="1">
        <f t="array" ref="K45">IFERROR(IF(OR($H45="", K44=""), "", IF($H45=2, SUM(IF(INDEX(_xlfn._xlws.FILTER(#REF!,#REF!= K$5), 0, MATCH($Q$2,#REF!, 0))&gt;1.9, 1, 0)), IF(SUM(IF(INDEX(_xlfn._xlws.FILTER(#REF!,#REF!= K$5), 0, MATCH($Q$2,#REF!, 0))=$H45, 1, 0))=0, "", SUM(IF(INDEX(_xlfn._xlws.FILTER(#REF!,#REF!= K$5), 0, MATCH($Q$2,#REF!, 0))=$H45, 1, 0))))), "")</f>
        <v/>
      </c>
      <c r="L45" s="35" t="str" cm="1">
        <f t="array" ref="L45">IFERROR(IF(OR($H45="", L44=""), "", IF($H45=2, SUM(IF(INDEX(_xlfn._xlws.FILTER(#REF!,#REF!= L$5), 0, MATCH($Q$2,#REF!, 0))&gt;1.9, 1, 0)), IF(SUM(IF(INDEX(_xlfn._xlws.FILTER(#REF!,#REF!= L$5), 0, MATCH($Q$2,#REF!, 0))=$H45, 1, 0))=0, "", SUM(IF(INDEX(_xlfn._xlws.FILTER(#REF!,#REF!= L$5), 0, MATCH($Q$2,#REF!, 0))=$H45, 1, 0))))), "")</f>
        <v/>
      </c>
      <c r="M45" s="35" t="str" cm="1">
        <f t="array" ref="M45">IFERROR(IF(OR($H45="", M44=""), "", IF($H45=2, SUM(IF(INDEX(_xlfn._xlws.FILTER(#REF!,#REF!= M$5), 0, MATCH($Q$2,#REF!, 0))&gt;1.9, 1, 0)), IF(SUM(IF(INDEX(_xlfn._xlws.FILTER(#REF!,#REF!= M$5), 0, MATCH($Q$2,#REF!, 0))=$H45, 1, 0))=0, "", SUM(IF(INDEX(_xlfn._xlws.FILTER(#REF!,#REF!= M$5), 0, MATCH($Q$2,#REF!, 0))=$H45, 1, 0))))), "")</f>
        <v/>
      </c>
    </row>
    <row r="46" spans="1:28" x14ac:dyDescent="0.55000000000000004">
      <c r="A46" s="37"/>
      <c r="B46" s="35" t="str" cm="1">
        <f t="array" ref="B46">IF($A46="", "", IF(SUM(IF(INDEX(_xlfn._xlws.FILTER(#REF!, tblPiNAnalysis[Population Group]=B$5), 0, MATCH(_xlfn.CONCAT($Q$2, "%"), #REF!, 0))=$A46, 1, 0))=0, "",SUM(IF(INDEX(_xlfn._xlws.FILTER(#REF!, tblPiNAnalysis[Population Group]=B$5), 0, MATCH(_xlfn.CONCAT($Q$2, "%"), #REF!, 0))=$A46, 1, 0))))</f>
        <v/>
      </c>
      <c r="C46" s="35" t="str" cm="1">
        <f t="array" ref="C46">IFERROR(IF(OR($A46="", C$5=""), "", IF(SUM(IF(INDEX(_xlfn._xlws.FILTER(#REF!, tblPiNAnalysis[Population Group]=C$5), 0, MATCH(_xlfn.CONCAT($Q$2, "%"), #REF!, 0))=$A46, 1, 0))=0, "",SUM(IF(INDEX(_xlfn._xlws.FILTER(#REF!, tblPiNAnalysis[Population Group]=C$5), 0, MATCH(_xlfn.CONCAT($Q$2, "%"), #REF!, 0))=$A46, 1, 0)))), "")</f>
        <v/>
      </c>
      <c r="D46" s="35" t="str" cm="1">
        <f t="array" ref="D46">IFERROR(IF(OR($A46="", D$5=""), "", IF(SUM(IF(INDEX(_xlfn._xlws.FILTER(#REF!, tblPiNAnalysis[Population Group]=D$5), 0, MATCH(_xlfn.CONCAT($Q$2, "%"), #REF!, 0))=$A46, 1, 0))=0, "",SUM(IF(INDEX(_xlfn._xlws.FILTER(#REF!, tblPiNAnalysis[Population Group]=D$5), 0, MATCH(_xlfn.CONCAT($Q$2, "%"), #REF!, 0))=$A46, 1, 0)))), "")</f>
        <v/>
      </c>
      <c r="E46" s="35" t="str" cm="1">
        <f t="array" ref="E46">IFERROR(IF(OR($A46="", E$5=""), "", IF(SUM(IF(INDEX(_xlfn._xlws.FILTER(#REF!, tblPiNAnalysis[Population Group]=E$5), 0, MATCH(_xlfn.CONCAT($Q$2, "%"), #REF!, 0))=$A46, 1, 0))=0, "",SUM(IF(INDEX(_xlfn._xlws.FILTER(#REF!, tblPiNAnalysis[Population Group]=E$5), 0, MATCH(_xlfn.CONCAT($Q$2, "%"), #REF!, 0))=$A46, 1, 0)))), "")</f>
        <v/>
      </c>
      <c r="F46" s="35" t="str" cm="1">
        <f t="array" ref="F46">IFERROR(IF(OR($A46="", F$5=""), "", IF(SUM(IF(INDEX(_xlfn._xlws.FILTER(#REF!, tblPiNAnalysis[CCCM]=F$5), 0, MATCH(_xlfn.CONCAT($Q$2, "%"), #REF!, 0))=$A46, 1, 0))=0, "",SUM(IF(INDEX(_xlfn._xlws.FILTER(#REF!, tblPiNAnalysis[CCCM]=F$5), 0, MATCH(_xlfn.CONCAT($Q$2, "%"), #REF!, 0))=$A46, 1, 0)))), "")</f>
        <v/>
      </c>
      <c r="H46" s="37"/>
      <c r="I46" s="35" t="str" cm="1">
        <f t="array" ref="I46">IF($H46="", "", IF($H46=2, SUM(IF(INDEX(_xlfn._xlws.FILTER(#REF!,#REF!= I$5), 0, MATCH($Q$2,#REF!, 0))&gt;1.9, 1, 0)), IF(SUM(IF(INDEX(_xlfn._xlws.FILTER(#REF!,#REF!= I$5), 0, MATCH($Q$2,#REF!, 0))=$H46, 1, 0))=0, "", SUM(IF(INDEX(_xlfn._xlws.FILTER(#REF!,#REF!= I$5), 0, MATCH($Q$2,#REF!, 0))=$H46, 1, 0)))))</f>
        <v/>
      </c>
      <c r="J46" s="35" t="str" cm="1">
        <f t="array" ref="J46">IFERROR(IF(OR($H46="", J45=""), "", IF($H46=2, SUM(IF(INDEX(_xlfn._xlws.FILTER(#REF!,#REF!= J$5), 0, MATCH($Q$2,#REF!, 0))&gt;1.9, 1, 0)), IF(SUM(IF(INDEX(_xlfn._xlws.FILTER(#REF!,#REF!= J$5), 0, MATCH($Q$2,#REF!, 0))=$H46, 1, 0))=0, "", SUM(IF(INDEX(_xlfn._xlws.FILTER(#REF!,#REF!= J$5), 0, MATCH($Q$2,#REF!, 0))=$H46, 1, 0))))), "")</f>
        <v/>
      </c>
      <c r="K46" s="35" t="str" cm="1">
        <f t="array" ref="K46">IFERROR(IF(OR($H46="", K45=""), "", IF($H46=2, SUM(IF(INDEX(_xlfn._xlws.FILTER(#REF!,#REF!= K$5), 0, MATCH($Q$2,#REF!, 0))&gt;1.9, 1, 0)), IF(SUM(IF(INDEX(_xlfn._xlws.FILTER(#REF!,#REF!= K$5), 0, MATCH($Q$2,#REF!, 0))=$H46, 1, 0))=0, "", SUM(IF(INDEX(_xlfn._xlws.FILTER(#REF!,#REF!= K$5), 0, MATCH($Q$2,#REF!, 0))=$H46, 1, 0))))), "")</f>
        <v/>
      </c>
      <c r="L46" s="35" t="str" cm="1">
        <f t="array" ref="L46">IFERROR(IF(OR($H46="", L45=""), "", IF($H46=2, SUM(IF(INDEX(_xlfn._xlws.FILTER(#REF!,#REF!= L$5), 0, MATCH($Q$2,#REF!, 0))&gt;1.9, 1, 0)), IF(SUM(IF(INDEX(_xlfn._xlws.FILTER(#REF!,#REF!= L$5), 0, MATCH($Q$2,#REF!, 0))=$H46, 1, 0))=0, "", SUM(IF(INDEX(_xlfn._xlws.FILTER(#REF!,#REF!= L$5), 0, MATCH($Q$2,#REF!, 0))=$H46, 1, 0))))), "")</f>
        <v/>
      </c>
      <c r="M46" s="35" t="str" cm="1">
        <f t="array" ref="M46">IFERROR(IF(OR($H46="", M45=""), "", IF($H46=2, SUM(IF(INDEX(_xlfn._xlws.FILTER(#REF!,#REF!= M$5), 0, MATCH($Q$2,#REF!, 0))&gt;1.9, 1, 0)), IF(SUM(IF(INDEX(_xlfn._xlws.FILTER(#REF!,#REF!= M$5), 0, MATCH($Q$2,#REF!, 0))=$H46, 1, 0))=0, "", SUM(IF(INDEX(_xlfn._xlws.FILTER(#REF!,#REF!= M$5), 0, MATCH($Q$2,#REF!, 0))=$H46, 1, 0))))), "")</f>
        <v/>
      </c>
    </row>
    <row r="47" spans="1:28" x14ac:dyDescent="0.55000000000000004">
      <c r="A47" s="37"/>
      <c r="B47" s="35" t="str" cm="1">
        <f t="array" ref="B47">IF($A47="", "", IF(SUM(IF(INDEX(_xlfn._xlws.FILTER(#REF!, tblPiNAnalysis[Population Group]=B$5), 0, MATCH(_xlfn.CONCAT($Q$2, "%"), #REF!, 0))=$A47, 1, 0))=0, "",SUM(IF(INDEX(_xlfn._xlws.FILTER(#REF!, tblPiNAnalysis[Population Group]=B$5), 0, MATCH(_xlfn.CONCAT($Q$2, "%"), #REF!, 0))=$A47, 1, 0))))</f>
        <v/>
      </c>
      <c r="C47" s="35" t="str" cm="1">
        <f t="array" ref="C47">IFERROR(IF(OR($A47="", C$5=""), "", IF(SUM(IF(INDEX(_xlfn._xlws.FILTER(#REF!, tblPiNAnalysis[Population Group]=C$5), 0, MATCH(_xlfn.CONCAT($Q$2, "%"), #REF!, 0))=$A47, 1, 0))=0, "",SUM(IF(INDEX(_xlfn._xlws.FILTER(#REF!, tblPiNAnalysis[Population Group]=C$5), 0, MATCH(_xlfn.CONCAT($Q$2, "%"), #REF!, 0))=$A47, 1, 0)))), "")</f>
        <v/>
      </c>
      <c r="D47" s="35" t="str" cm="1">
        <f t="array" ref="D47">IFERROR(IF(OR($A47="", D$5=""), "", IF(SUM(IF(INDEX(_xlfn._xlws.FILTER(#REF!, tblPiNAnalysis[Population Group]=D$5), 0, MATCH(_xlfn.CONCAT($Q$2, "%"), #REF!, 0))=$A47, 1, 0))=0, "",SUM(IF(INDEX(_xlfn._xlws.FILTER(#REF!, tblPiNAnalysis[Population Group]=D$5), 0, MATCH(_xlfn.CONCAT($Q$2, "%"), #REF!, 0))=$A47, 1, 0)))), "")</f>
        <v/>
      </c>
      <c r="E47" s="35" t="str" cm="1">
        <f t="array" ref="E47">IFERROR(IF(OR($A47="", E$5=""), "", IF(SUM(IF(INDEX(_xlfn._xlws.FILTER(#REF!, tblPiNAnalysis[Population Group]=E$5), 0, MATCH(_xlfn.CONCAT($Q$2, "%"), #REF!, 0))=$A47, 1, 0))=0, "",SUM(IF(INDEX(_xlfn._xlws.FILTER(#REF!, tblPiNAnalysis[Population Group]=E$5), 0, MATCH(_xlfn.CONCAT($Q$2, "%"), #REF!, 0))=$A47, 1, 0)))), "")</f>
        <v/>
      </c>
      <c r="F47" s="35" t="str" cm="1">
        <f t="array" ref="F47">IFERROR(IF(OR($A47="", F$5=""), "", IF(SUM(IF(INDEX(_xlfn._xlws.FILTER(#REF!, tblPiNAnalysis[CCCM]=F$5), 0, MATCH(_xlfn.CONCAT($Q$2, "%"), #REF!, 0))=$A47, 1, 0))=0, "",SUM(IF(INDEX(_xlfn._xlws.FILTER(#REF!, tblPiNAnalysis[CCCM]=F$5), 0, MATCH(_xlfn.CONCAT($Q$2, "%"), #REF!, 0))=$A47, 1, 0)))), "")</f>
        <v/>
      </c>
      <c r="H47" s="37"/>
      <c r="I47" s="35" t="str" cm="1">
        <f t="array" ref="I47">IF($H47="", "", IF($H47=2, SUM(IF(INDEX(_xlfn._xlws.FILTER(#REF!,#REF!= I$5), 0, MATCH($Q$2,#REF!, 0))&gt;1.9, 1, 0)), IF(SUM(IF(INDEX(_xlfn._xlws.FILTER(#REF!,#REF!= I$5), 0, MATCH($Q$2,#REF!, 0))=$H47, 1, 0))=0, "", SUM(IF(INDEX(_xlfn._xlws.FILTER(#REF!,#REF!= I$5), 0, MATCH($Q$2,#REF!, 0))=$H47, 1, 0)))))</f>
        <v/>
      </c>
      <c r="J47" s="35" t="str" cm="1">
        <f t="array" ref="J47">IFERROR(IF(OR($H47="", J46=""), "", IF($H47=2, SUM(IF(INDEX(_xlfn._xlws.FILTER(#REF!,#REF!= J$5), 0, MATCH($Q$2,#REF!, 0))&gt;1.9, 1, 0)), IF(SUM(IF(INDEX(_xlfn._xlws.FILTER(#REF!,#REF!= J$5), 0, MATCH($Q$2,#REF!, 0))=$H47, 1, 0))=0, "", SUM(IF(INDEX(_xlfn._xlws.FILTER(#REF!,#REF!= J$5), 0, MATCH($Q$2,#REF!, 0))=$H47, 1, 0))))), "")</f>
        <v/>
      </c>
      <c r="K47" s="35" t="str" cm="1">
        <f t="array" ref="K47">IFERROR(IF(OR($H47="", K46=""), "", IF($H47=2, SUM(IF(INDEX(_xlfn._xlws.FILTER(#REF!,#REF!= K$5), 0, MATCH($Q$2,#REF!, 0))&gt;1.9, 1, 0)), IF(SUM(IF(INDEX(_xlfn._xlws.FILTER(#REF!,#REF!= K$5), 0, MATCH($Q$2,#REF!, 0))=$H47, 1, 0))=0, "", SUM(IF(INDEX(_xlfn._xlws.FILTER(#REF!,#REF!= K$5), 0, MATCH($Q$2,#REF!, 0))=$H47, 1, 0))))), "")</f>
        <v/>
      </c>
      <c r="L47" s="35" t="str" cm="1">
        <f t="array" ref="L47">IFERROR(IF(OR($H47="", L46=""), "", IF($H47=2, SUM(IF(INDEX(_xlfn._xlws.FILTER(#REF!,#REF!= L$5), 0, MATCH($Q$2,#REF!, 0))&gt;1.9, 1, 0)), IF(SUM(IF(INDEX(_xlfn._xlws.FILTER(#REF!,#REF!= L$5), 0, MATCH($Q$2,#REF!, 0))=$H47, 1, 0))=0, "", SUM(IF(INDEX(_xlfn._xlws.FILTER(#REF!,#REF!= L$5), 0, MATCH($Q$2,#REF!, 0))=$H47, 1, 0))))), "")</f>
        <v/>
      </c>
      <c r="M47" s="35" t="str" cm="1">
        <f t="array" ref="M47">IFERROR(IF(OR($H47="", M46=""), "", IF($H47=2, SUM(IF(INDEX(_xlfn._xlws.FILTER(#REF!,#REF!= M$5), 0, MATCH($Q$2,#REF!, 0))&gt;1.9, 1, 0)), IF(SUM(IF(INDEX(_xlfn._xlws.FILTER(#REF!,#REF!= M$5), 0, MATCH($Q$2,#REF!, 0))=$H47, 1, 0))=0, "", SUM(IF(INDEX(_xlfn._xlws.FILTER(#REF!,#REF!= M$5), 0, MATCH($Q$2,#REF!, 0))=$H47, 1, 0))))), "")</f>
        <v/>
      </c>
    </row>
    <row r="48" spans="1:28" x14ac:dyDescent="0.55000000000000004">
      <c r="A48" s="37"/>
      <c r="B48" s="35" t="str" cm="1">
        <f t="array" ref="B48">IF($A48="", "", IF(SUM(IF(INDEX(_xlfn._xlws.FILTER(#REF!, tblPiNAnalysis[Population Group]=B$5), 0, MATCH(_xlfn.CONCAT($Q$2, "%"), #REF!, 0))=$A48, 1, 0))=0, "",SUM(IF(INDEX(_xlfn._xlws.FILTER(#REF!, tblPiNAnalysis[Population Group]=B$5), 0, MATCH(_xlfn.CONCAT($Q$2, "%"), #REF!, 0))=$A48, 1, 0))))</f>
        <v/>
      </c>
      <c r="C48" s="35" t="str" cm="1">
        <f t="array" ref="C48">IFERROR(IF(OR($A48="", C$5=""), "", IF(SUM(IF(INDEX(_xlfn._xlws.FILTER(#REF!, tblPiNAnalysis[Population Group]=C$5), 0, MATCH(_xlfn.CONCAT($Q$2, "%"), #REF!, 0))=$A48, 1, 0))=0, "",SUM(IF(INDEX(_xlfn._xlws.FILTER(#REF!, tblPiNAnalysis[Population Group]=C$5), 0, MATCH(_xlfn.CONCAT($Q$2, "%"), #REF!, 0))=$A48, 1, 0)))), "")</f>
        <v/>
      </c>
      <c r="D48" s="35" t="str" cm="1">
        <f t="array" ref="D48">IFERROR(IF(OR($A48="", D$5=""), "", IF(SUM(IF(INDEX(_xlfn._xlws.FILTER(#REF!, tblPiNAnalysis[Population Group]=D$5), 0, MATCH(_xlfn.CONCAT($Q$2, "%"), #REF!, 0))=$A48, 1, 0))=0, "",SUM(IF(INDEX(_xlfn._xlws.FILTER(#REF!, tblPiNAnalysis[Population Group]=D$5), 0, MATCH(_xlfn.CONCAT($Q$2, "%"), #REF!, 0))=$A48, 1, 0)))), "")</f>
        <v/>
      </c>
      <c r="E48" s="35" t="str" cm="1">
        <f t="array" ref="E48">IFERROR(IF(OR($A48="", E$5=""), "", IF(SUM(IF(INDEX(_xlfn._xlws.FILTER(#REF!, tblPiNAnalysis[Population Group]=E$5), 0, MATCH(_xlfn.CONCAT($Q$2, "%"), #REF!, 0))=$A48, 1, 0))=0, "",SUM(IF(INDEX(_xlfn._xlws.FILTER(#REF!, tblPiNAnalysis[Population Group]=E$5), 0, MATCH(_xlfn.CONCAT($Q$2, "%"), #REF!, 0))=$A48, 1, 0)))), "")</f>
        <v/>
      </c>
      <c r="F48" s="35" t="str" cm="1">
        <f t="array" ref="F48">IFERROR(IF(OR($A48="", F$5=""), "", IF(SUM(IF(INDEX(_xlfn._xlws.FILTER(#REF!, tblPiNAnalysis[CCCM]=F$5), 0, MATCH(_xlfn.CONCAT($Q$2, "%"), #REF!, 0))=$A48, 1, 0))=0, "",SUM(IF(INDEX(_xlfn._xlws.FILTER(#REF!, tblPiNAnalysis[CCCM]=F$5), 0, MATCH(_xlfn.CONCAT($Q$2, "%"), #REF!, 0))=$A48, 1, 0)))), "")</f>
        <v/>
      </c>
      <c r="H48" s="37"/>
      <c r="I48" s="35" t="str" cm="1">
        <f t="array" ref="I48">IF($H48="", "", IF($H48=2, SUM(IF(INDEX(_xlfn._xlws.FILTER(#REF!,#REF!= I$5), 0, MATCH($Q$2,#REF!, 0))&gt;1.9, 1, 0)), IF(SUM(IF(INDEX(_xlfn._xlws.FILTER(#REF!,#REF!= I$5), 0, MATCH($Q$2,#REF!, 0))=$H48, 1, 0))=0, "", SUM(IF(INDEX(_xlfn._xlws.FILTER(#REF!,#REF!= I$5), 0, MATCH($Q$2,#REF!, 0))=$H48, 1, 0)))))</f>
        <v/>
      </c>
      <c r="J48" s="35" t="str" cm="1">
        <f t="array" ref="J48">IFERROR(IF(OR($H48="", J47=""), "", IF($H48=2, SUM(IF(INDEX(_xlfn._xlws.FILTER(#REF!,#REF!= J$5), 0, MATCH($Q$2,#REF!, 0))&gt;1.9, 1, 0)), IF(SUM(IF(INDEX(_xlfn._xlws.FILTER(#REF!,#REF!= J$5), 0, MATCH($Q$2,#REF!, 0))=$H48, 1, 0))=0, "", SUM(IF(INDEX(_xlfn._xlws.FILTER(#REF!,#REF!= J$5), 0, MATCH($Q$2,#REF!, 0))=$H48, 1, 0))))), "")</f>
        <v/>
      </c>
      <c r="K48" s="35" t="str" cm="1">
        <f t="array" ref="K48">IFERROR(IF(OR($H48="", K47=""), "", IF($H48=2, SUM(IF(INDEX(_xlfn._xlws.FILTER(#REF!,#REF!= K$5), 0, MATCH($Q$2,#REF!, 0))&gt;1.9, 1, 0)), IF(SUM(IF(INDEX(_xlfn._xlws.FILTER(#REF!,#REF!= K$5), 0, MATCH($Q$2,#REF!, 0))=$H48, 1, 0))=0, "", SUM(IF(INDEX(_xlfn._xlws.FILTER(#REF!,#REF!= K$5), 0, MATCH($Q$2,#REF!, 0))=$H48, 1, 0))))), "")</f>
        <v/>
      </c>
      <c r="L48" s="35" t="str" cm="1">
        <f t="array" ref="L48">IFERROR(IF(OR($H48="", L47=""), "", IF($H48=2, SUM(IF(INDEX(_xlfn._xlws.FILTER(#REF!,#REF!= L$5), 0, MATCH($Q$2,#REF!, 0))&gt;1.9, 1, 0)), IF(SUM(IF(INDEX(_xlfn._xlws.FILTER(#REF!,#REF!= L$5), 0, MATCH($Q$2,#REF!, 0))=$H48, 1, 0))=0, "", SUM(IF(INDEX(_xlfn._xlws.FILTER(#REF!,#REF!= L$5), 0, MATCH($Q$2,#REF!, 0))=$H48, 1, 0))))), "")</f>
        <v/>
      </c>
      <c r="M48" s="35" t="str" cm="1">
        <f t="array" ref="M48">IFERROR(IF(OR($H48="", M47=""), "", IF($H48=2, SUM(IF(INDEX(_xlfn._xlws.FILTER(#REF!,#REF!= M$5), 0, MATCH($Q$2,#REF!, 0))&gt;1.9, 1, 0)), IF(SUM(IF(INDEX(_xlfn._xlws.FILTER(#REF!,#REF!= M$5), 0, MATCH($Q$2,#REF!, 0))=$H48, 1, 0))=0, "", SUM(IF(INDEX(_xlfn._xlws.FILTER(#REF!,#REF!= M$5), 0, MATCH($Q$2,#REF!, 0))=$H48, 1, 0))))), "")</f>
        <v/>
      </c>
    </row>
    <row r="49" spans="1:13" x14ac:dyDescent="0.55000000000000004">
      <c r="A49" s="37"/>
      <c r="B49" s="35" t="str" cm="1">
        <f t="array" ref="B49">IF($A49="", "", IF(SUM(IF(INDEX(_xlfn._xlws.FILTER(#REF!, tblPiNAnalysis[Population Group]=B$5), 0, MATCH(_xlfn.CONCAT($Q$2, "%"), #REF!, 0))=$A49, 1, 0))=0, "",SUM(IF(INDEX(_xlfn._xlws.FILTER(#REF!, tblPiNAnalysis[Population Group]=B$5), 0, MATCH(_xlfn.CONCAT($Q$2, "%"), #REF!, 0))=$A49, 1, 0))))</f>
        <v/>
      </c>
      <c r="C49" s="35" t="str" cm="1">
        <f t="array" ref="C49">IFERROR(IF(OR($A49="", C$5=""), "", IF(SUM(IF(INDEX(_xlfn._xlws.FILTER(#REF!, tblPiNAnalysis[Population Group]=C$5), 0, MATCH(_xlfn.CONCAT($Q$2, "%"), #REF!, 0))=$A49, 1, 0))=0, "",SUM(IF(INDEX(_xlfn._xlws.FILTER(#REF!, tblPiNAnalysis[Population Group]=C$5), 0, MATCH(_xlfn.CONCAT($Q$2, "%"), #REF!, 0))=$A49, 1, 0)))), "")</f>
        <v/>
      </c>
      <c r="D49" s="35" t="str" cm="1">
        <f t="array" ref="D49">IFERROR(IF(OR($A49="", D$5=""), "", IF(SUM(IF(INDEX(_xlfn._xlws.FILTER(#REF!, tblPiNAnalysis[Population Group]=D$5), 0, MATCH(_xlfn.CONCAT($Q$2, "%"), #REF!, 0))=$A49, 1, 0))=0, "",SUM(IF(INDEX(_xlfn._xlws.FILTER(#REF!, tblPiNAnalysis[Population Group]=D$5), 0, MATCH(_xlfn.CONCAT($Q$2, "%"), #REF!, 0))=$A49, 1, 0)))), "")</f>
        <v/>
      </c>
      <c r="E49" s="35" t="str" cm="1">
        <f t="array" ref="E49">IFERROR(IF(OR($A49="", E$5=""), "", IF(SUM(IF(INDEX(_xlfn._xlws.FILTER(#REF!, tblPiNAnalysis[Population Group]=E$5), 0, MATCH(_xlfn.CONCAT($Q$2, "%"), #REF!, 0))=$A49, 1, 0))=0, "",SUM(IF(INDEX(_xlfn._xlws.FILTER(#REF!, tblPiNAnalysis[Population Group]=E$5), 0, MATCH(_xlfn.CONCAT($Q$2, "%"), #REF!, 0))=$A49, 1, 0)))), "")</f>
        <v/>
      </c>
      <c r="F49" s="35" t="str" cm="1">
        <f t="array" ref="F49">IFERROR(IF(OR($A49="", F$5=""), "", IF(SUM(IF(INDEX(_xlfn._xlws.FILTER(#REF!, tblPiNAnalysis[CCCM]=F$5), 0, MATCH(_xlfn.CONCAT($Q$2, "%"), #REF!, 0))=$A49, 1, 0))=0, "",SUM(IF(INDEX(_xlfn._xlws.FILTER(#REF!, tblPiNAnalysis[CCCM]=F$5), 0, MATCH(_xlfn.CONCAT($Q$2, "%"), #REF!, 0))=$A49, 1, 0)))), "")</f>
        <v/>
      </c>
      <c r="H49" s="37"/>
      <c r="I49" s="35" t="str" cm="1">
        <f t="array" ref="I49">IF($H49="", "", IF($H49=2, SUM(IF(INDEX(_xlfn._xlws.FILTER(#REF!,#REF!= I$5), 0, MATCH($Q$2,#REF!, 0))&gt;1.9, 1, 0)), IF(SUM(IF(INDEX(_xlfn._xlws.FILTER(#REF!,#REF!= I$5), 0, MATCH($Q$2,#REF!, 0))=$H49, 1, 0))=0, "", SUM(IF(INDEX(_xlfn._xlws.FILTER(#REF!,#REF!= I$5), 0, MATCH($Q$2,#REF!, 0))=$H49, 1, 0)))))</f>
        <v/>
      </c>
      <c r="J49" s="35" t="str" cm="1">
        <f t="array" ref="J49">IFERROR(IF(OR($H49="", J48=""), "", IF($H49=2, SUM(IF(INDEX(_xlfn._xlws.FILTER(#REF!,#REF!= J$5), 0, MATCH($Q$2,#REF!, 0))&gt;1.9, 1, 0)), IF(SUM(IF(INDEX(_xlfn._xlws.FILTER(#REF!,#REF!= J$5), 0, MATCH($Q$2,#REF!, 0))=$H49, 1, 0))=0, "", SUM(IF(INDEX(_xlfn._xlws.FILTER(#REF!,#REF!= J$5), 0, MATCH($Q$2,#REF!, 0))=$H49, 1, 0))))), "")</f>
        <v/>
      </c>
      <c r="K49" s="35" t="str" cm="1">
        <f t="array" ref="K49">IFERROR(IF(OR($H49="", K48=""), "", IF($H49=2, SUM(IF(INDEX(_xlfn._xlws.FILTER(#REF!,#REF!= K$5), 0, MATCH($Q$2,#REF!, 0))&gt;1.9, 1, 0)), IF(SUM(IF(INDEX(_xlfn._xlws.FILTER(#REF!,#REF!= K$5), 0, MATCH($Q$2,#REF!, 0))=$H49, 1, 0))=0, "", SUM(IF(INDEX(_xlfn._xlws.FILTER(#REF!,#REF!= K$5), 0, MATCH($Q$2,#REF!, 0))=$H49, 1, 0))))), "")</f>
        <v/>
      </c>
      <c r="L49" s="35" t="str" cm="1">
        <f t="array" ref="L49">IFERROR(IF(OR($H49="", L48=""), "", IF($H49=2, SUM(IF(INDEX(_xlfn._xlws.FILTER(#REF!,#REF!= L$5), 0, MATCH($Q$2,#REF!, 0))&gt;1.9, 1, 0)), IF(SUM(IF(INDEX(_xlfn._xlws.FILTER(#REF!,#REF!= L$5), 0, MATCH($Q$2,#REF!, 0))=$H49, 1, 0))=0, "", SUM(IF(INDEX(_xlfn._xlws.FILTER(#REF!,#REF!= L$5), 0, MATCH($Q$2,#REF!, 0))=$H49, 1, 0))))), "")</f>
        <v/>
      </c>
      <c r="M49" s="35" t="str" cm="1">
        <f t="array" ref="M49">IFERROR(IF(OR($H49="", M48=""), "", IF($H49=2, SUM(IF(INDEX(_xlfn._xlws.FILTER(#REF!,#REF!= M$5), 0, MATCH($Q$2,#REF!, 0))&gt;1.9, 1, 0)), IF(SUM(IF(INDEX(_xlfn._xlws.FILTER(#REF!,#REF!= M$5), 0, MATCH($Q$2,#REF!, 0))=$H49, 1, 0))=0, "", SUM(IF(INDEX(_xlfn._xlws.FILTER(#REF!,#REF!= M$5), 0, MATCH($Q$2,#REF!, 0))=$H49, 1, 0))))), "")</f>
        <v/>
      </c>
    </row>
    <row r="50" spans="1:13" x14ac:dyDescent="0.55000000000000004">
      <c r="A50" s="37"/>
      <c r="B50" s="35" t="str" cm="1">
        <f t="array" ref="B50">IF($A50="", "", IF(SUM(IF(INDEX(_xlfn._xlws.FILTER(#REF!, tblPiNAnalysis[Population Group]=B$5), 0, MATCH(_xlfn.CONCAT($Q$2, "%"), #REF!, 0))=$A50, 1, 0))=0, "",SUM(IF(INDEX(_xlfn._xlws.FILTER(#REF!, tblPiNAnalysis[Population Group]=B$5), 0, MATCH(_xlfn.CONCAT($Q$2, "%"), #REF!, 0))=$A50, 1, 0))))</f>
        <v/>
      </c>
      <c r="C50" s="35" t="str" cm="1">
        <f t="array" ref="C50">IFERROR(IF(OR($A50="", C$5=""), "", IF(SUM(IF(INDEX(_xlfn._xlws.FILTER(#REF!, tblPiNAnalysis[Population Group]=C$5), 0, MATCH(_xlfn.CONCAT($Q$2, "%"), #REF!, 0))=$A50, 1, 0))=0, "",SUM(IF(INDEX(_xlfn._xlws.FILTER(#REF!, tblPiNAnalysis[Population Group]=C$5), 0, MATCH(_xlfn.CONCAT($Q$2, "%"), #REF!, 0))=$A50, 1, 0)))), "")</f>
        <v/>
      </c>
      <c r="D50" s="35" t="str" cm="1">
        <f t="array" ref="D50">IFERROR(IF(OR($A50="", D$5=""), "", IF(SUM(IF(INDEX(_xlfn._xlws.FILTER(#REF!, tblPiNAnalysis[Population Group]=D$5), 0, MATCH(_xlfn.CONCAT($Q$2, "%"), #REF!, 0))=$A50, 1, 0))=0, "",SUM(IF(INDEX(_xlfn._xlws.FILTER(#REF!, tblPiNAnalysis[Population Group]=D$5), 0, MATCH(_xlfn.CONCAT($Q$2, "%"), #REF!, 0))=$A50, 1, 0)))), "")</f>
        <v/>
      </c>
      <c r="E50" s="35" t="str" cm="1">
        <f t="array" ref="E50">IFERROR(IF(OR($A50="", E$5=""), "", IF(SUM(IF(INDEX(_xlfn._xlws.FILTER(#REF!, tblPiNAnalysis[Population Group]=E$5), 0, MATCH(_xlfn.CONCAT($Q$2, "%"), #REF!, 0))=$A50, 1, 0))=0, "",SUM(IF(INDEX(_xlfn._xlws.FILTER(#REF!, tblPiNAnalysis[Population Group]=E$5), 0, MATCH(_xlfn.CONCAT($Q$2, "%"), #REF!, 0))=$A50, 1, 0)))), "")</f>
        <v/>
      </c>
      <c r="F50" s="35" t="str" cm="1">
        <f t="array" ref="F50">IFERROR(IF(OR($A50="", F$5=""), "", IF(SUM(IF(INDEX(_xlfn._xlws.FILTER(#REF!, tblPiNAnalysis[CCCM]=F$5), 0, MATCH(_xlfn.CONCAT($Q$2, "%"), #REF!, 0))=$A50, 1, 0))=0, "",SUM(IF(INDEX(_xlfn._xlws.FILTER(#REF!, tblPiNAnalysis[CCCM]=F$5), 0, MATCH(_xlfn.CONCAT($Q$2, "%"), #REF!, 0))=$A50, 1, 0)))), "")</f>
        <v/>
      </c>
      <c r="H50" s="37"/>
      <c r="I50" s="35" t="str" cm="1">
        <f t="array" ref="I50">IF($H50="", "", IF($H50=2, SUM(IF(INDEX(_xlfn._xlws.FILTER(#REF!,#REF!= I$5), 0, MATCH($Q$2,#REF!, 0))&gt;1.9, 1, 0)), IF(SUM(IF(INDEX(_xlfn._xlws.FILTER(#REF!,#REF!= I$5), 0, MATCH($Q$2,#REF!, 0))=$H50, 1, 0))=0, "", SUM(IF(INDEX(_xlfn._xlws.FILTER(#REF!,#REF!= I$5), 0, MATCH($Q$2,#REF!, 0))=$H50, 1, 0)))))</f>
        <v/>
      </c>
      <c r="J50" s="35" t="str" cm="1">
        <f t="array" ref="J50">IFERROR(IF(OR($H50="", J49=""), "", IF($H50=2, SUM(IF(INDEX(_xlfn._xlws.FILTER(#REF!,#REF!= J$5), 0, MATCH($Q$2,#REF!, 0))&gt;1.9, 1, 0)), IF(SUM(IF(INDEX(_xlfn._xlws.FILTER(#REF!,#REF!= J$5), 0, MATCH($Q$2,#REF!, 0))=$H50, 1, 0))=0, "", SUM(IF(INDEX(_xlfn._xlws.FILTER(#REF!,#REF!= J$5), 0, MATCH($Q$2,#REF!, 0))=$H50, 1, 0))))), "")</f>
        <v/>
      </c>
      <c r="K50" s="35" t="str" cm="1">
        <f t="array" ref="K50">IFERROR(IF(OR($H50="", K49=""), "", IF($H50=2, SUM(IF(INDEX(_xlfn._xlws.FILTER(#REF!,#REF!= K$5), 0, MATCH($Q$2,#REF!, 0))&gt;1.9, 1, 0)), IF(SUM(IF(INDEX(_xlfn._xlws.FILTER(#REF!,#REF!= K$5), 0, MATCH($Q$2,#REF!, 0))=$H50, 1, 0))=0, "", SUM(IF(INDEX(_xlfn._xlws.FILTER(#REF!,#REF!= K$5), 0, MATCH($Q$2,#REF!, 0))=$H50, 1, 0))))), "")</f>
        <v/>
      </c>
      <c r="L50" s="35" t="str" cm="1">
        <f t="array" ref="L50">IFERROR(IF(OR($H50="", L49=""), "", IF($H50=2, SUM(IF(INDEX(_xlfn._xlws.FILTER(#REF!,#REF!= L$5), 0, MATCH($Q$2,#REF!, 0))&gt;1.9, 1, 0)), IF(SUM(IF(INDEX(_xlfn._xlws.FILTER(#REF!,#REF!= L$5), 0, MATCH($Q$2,#REF!, 0))=$H50, 1, 0))=0, "", SUM(IF(INDEX(_xlfn._xlws.FILTER(#REF!,#REF!= L$5), 0, MATCH($Q$2,#REF!, 0))=$H50, 1, 0))))), "")</f>
        <v/>
      </c>
      <c r="M50" s="35" t="str" cm="1">
        <f t="array" ref="M50">IFERROR(IF(OR($H50="", M49=""), "", IF($H50=2, SUM(IF(INDEX(_xlfn._xlws.FILTER(#REF!,#REF!= M$5), 0, MATCH($Q$2,#REF!, 0))&gt;1.9, 1, 0)), IF(SUM(IF(INDEX(_xlfn._xlws.FILTER(#REF!,#REF!= M$5), 0, MATCH($Q$2,#REF!, 0))=$H50, 1, 0))=0, "", SUM(IF(INDEX(_xlfn._xlws.FILTER(#REF!,#REF!= M$5), 0, MATCH($Q$2,#REF!, 0))=$H50, 1, 0))))), "")</f>
        <v/>
      </c>
    </row>
    <row r="51" spans="1:13" x14ac:dyDescent="0.55000000000000004">
      <c r="A51" s="37"/>
      <c r="B51" s="35" t="str" cm="1">
        <f t="array" ref="B51">IF($A51="", "", IF(SUM(IF(INDEX(_xlfn._xlws.FILTER(#REF!, tblPiNAnalysis[Population Group]=B$5), 0, MATCH(_xlfn.CONCAT($Q$2, "%"), #REF!, 0))=$A51, 1, 0))=0, "",SUM(IF(INDEX(_xlfn._xlws.FILTER(#REF!, tblPiNAnalysis[Population Group]=B$5), 0, MATCH(_xlfn.CONCAT($Q$2, "%"), #REF!, 0))=$A51, 1, 0))))</f>
        <v/>
      </c>
      <c r="C51" s="35" t="str" cm="1">
        <f t="array" ref="C51">IFERROR(IF(OR($A51="", C$5=""), "", IF(SUM(IF(INDEX(_xlfn._xlws.FILTER(#REF!, tblPiNAnalysis[Population Group]=C$5), 0, MATCH(_xlfn.CONCAT($Q$2, "%"), #REF!, 0))=$A51, 1, 0))=0, "",SUM(IF(INDEX(_xlfn._xlws.FILTER(#REF!, tblPiNAnalysis[Population Group]=C$5), 0, MATCH(_xlfn.CONCAT($Q$2, "%"), #REF!, 0))=$A51, 1, 0)))), "")</f>
        <v/>
      </c>
      <c r="D51" s="35" t="str" cm="1">
        <f t="array" ref="D51">IFERROR(IF(OR($A51="", D$5=""), "", IF(SUM(IF(INDEX(_xlfn._xlws.FILTER(#REF!, tblPiNAnalysis[Population Group]=D$5), 0, MATCH(_xlfn.CONCAT($Q$2, "%"), #REF!, 0))=$A51, 1, 0))=0, "",SUM(IF(INDEX(_xlfn._xlws.FILTER(#REF!, tblPiNAnalysis[Population Group]=D$5), 0, MATCH(_xlfn.CONCAT($Q$2, "%"), #REF!, 0))=$A51, 1, 0)))), "")</f>
        <v/>
      </c>
      <c r="E51" s="35" t="str" cm="1">
        <f t="array" ref="E51">IFERROR(IF(OR($A51="", E$5=""), "", IF(SUM(IF(INDEX(_xlfn._xlws.FILTER(#REF!, tblPiNAnalysis[Population Group]=E$5), 0, MATCH(_xlfn.CONCAT($Q$2, "%"), #REF!, 0))=$A51, 1, 0))=0, "",SUM(IF(INDEX(_xlfn._xlws.FILTER(#REF!, tblPiNAnalysis[Population Group]=E$5), 0, MATCH(_xlfn.CONCAT($Q$2, "%"), #REF!, 0))=$A51, 1, 0)))), "")</f>
        <v/>
      </c>
      <c r="F51" s="35" t="str" cm="1">
        <f t="array" ref="F51">IFERROR(IF(OR($A51="", F$5=""), "", IF(SUM(IF(INDEX(_xlfn._xlws.FILTER(#REF!, tblPiNAnalysis[CCCM]=F$5), 0, MATCH(_xlfn.CONCAT($Q$2, "%"), #REF!, 0))=$A51, 1, 0))=0, "",SUM(IF(INDEX(_xlfn._xlws.FILTER(#REF!, tblPiNAnalysis[CCCM]=F$5), 0, MATCH(_xlfn.CONCAT($Q$2, "%"), #REF!, 0))=$A51, 1, 0)))), "")</f>
        <v/>
      </c>
      <c r="H51" s="37"/>
      <c r="I51" s="35" t="str" cm="1">
        <f t="array" ref="I51">IF($H51="", "", IF($H51=2, SUM(IF(INDEX(_xlfn._xlws.FILTER(#REF!,#REF!= I$5), 0, MATCH($Q$2,#REF!, 0))&gt;1.9, 1, 0)), IF(SUM(IF(INDEX(_xlfn._xlws.FILTER(#REF!,#REF!= I$5), 0, MATCH($Q$2,#REF!, 0))=$H51, 1, 0))=0, "", SUM(IF(INDEX(_xlfn._xlws.FILTER(#REF!,#REF!= I$5), 0, MATCH($Q$2,#REF!, 0))=$H51, 1, 0)))))</f>
        <v/>
      </c>
      <c r="J51" s="35" t="str" cm="1">
        <f t="array" ref="J51">IFERROR(IF(OR($H51="", J50=""), "", IF($H51=2, SUM(IF(INDEX(_xlfn._xlws.FILTER(#REF!,#REF!= J$5), 0, MATCH($Q$2,#REF!, 0))&gt;1.9, 1, 0)), IF(SUM(IF(INDEX(_xlfn._xlws.FILTER(#REF!,#REF!= J$5), 0, MATCH($Q$2,#REF!, 0))=$H51, 1, 0))=0, "", SUM(IF(INDEX(_xlfn._xlws.FILTER(#REF!,#REF!= J$5), 0, MATCH($Q$2,#REF!, 0))=$H51, 1, 0))))), "")</f>
        <v/>
      </c>
      <c r="K51" s="35" t="str" cm="1">
        <f t="array" ref="K51">IFERROR(IF(OR($H51="", K50=""), "", IF($H51=2, SUM(IF(INDEX(_xlfn._xlws.FILTER(#REF!,#REF!= K$5), 0, MATCH($Q$2,#REF!, 0))&gt;1.9, 1, 0)), IF(SUM(IF(INDEX(_xlfn._xlws.FILTER(#REF!,#REF!= K$5), 0, MATCH($Q$2,#REF!, 0))=$H51, 1, 0))=0, "", SUM(IF(INDEX(_xlfn._xlws.FILTER(#REF!,#REF!= K$5), 0, MATCH($Q$2,#REF!, 0))=$H51, 1, 0))))), "")</f>
        <v/>
      </c>
      <c r="L51" s="35" t="str" cm="1">
        <f t="array" ref="L51">IFERROR(IF(OR($H51="", L50=""), "", IF($H51=2, SUM(IF(INDEX(_xlfn._xlws.FILTER(#REF!,#REF!= L$5), 0, MATCH($Q$2,#REF!, 0))&gt;1.9, 1, 0)), IF(SUM(IF(INDEX(_xlfn._xlws.FILTER(#REF!,#REF!= L$5), 0, MATCH($Q$2,#REF!, 0))=$H51, 1, 0))=0, "", SUM(IF(INDEX(_xlfn._xlws.FILTER(#REF!,#REF!= L$5), 0, MATCH($Q$2,#REF!, 0))=$H51, 1, 0))))), "")</f>
        <v/>
      </c>
      <c r="M51" s="35" t="str" cm="1">
        <f t="array" ref="M51">IFERROR(IF(OR($H51="", M50=""), "", IF($H51=2, SUM(IF(INDEX(_xlfn._xlws.FILTER(#REF!,#REF!= M$5), 0, MATCH($Q$2,#REF!, 0))&gt;1.9, 1, 0)), IF(SUM(IF(INDEX(_xlfn._xlws.FILTER(#REF!,#REF!= M$5), 0, MATCH($Q$2,#REF!, 0))=$H51, 1, 0))=0, "", SUM(IF(INDEX(_xlfn._xlws.FILTER(#REF!,#REF!= M$5), 0, MATCH($Q$2,#REF!, 0))=$H51, 1, 0))))), "")</f>
        <v/>
      </c>
    </row>
    <row r="52" spans="1:13" x14ac:dyDescent="0.55000000000000004">
      <c r="A52" s="37"/>
      <c r="B52" s="35" t="str" cm="1">
        <f t="array" ref="B52">IF($A52="", "", IF(SUM(IF(INDEX(_xlfn._xlws.FILTER(#REF!, tblPiNAnalysis[Population Group]=B$5), 0, MATCH(_xlfn.CONCAT($Q$2, "%"), #REF!, 0))=$A52, 1, 0))=0, "",SUM(IF(INDEX(_xlfn._xlws.FILTER(#REF!, tblPiNAnalysis[Population Group]=B$5), 0, MATCH(_xlfn.CONCAT($Q$2, "%"), #REF!, 0))=$A52, 1, 0))))</f>
        <v/>
      </c>
      <c r="C52" s="35" t="str" cm="1">
        <f t="array" ref="C52">IFERROR(IF(OR($A52="", C$5=""), "", IF(SUM(IF(INDEX(_xlfn._xlws.FILTER(#REF!, tblPiNAnalysis[Population Group]=C$5), 0, MATCH(_xlfn.CONCAT($Q$2, "%"), #REF!, 0))=$A52, 1, 0))=0, "",SUM(IF(INDEX(_xlfn._xlws.FILTER(#REF!, tblPiNAnalysis[Population Group]=C$5), 0, MATCH(_xlfn.CONCAT($Q$2, "%"), #REF!, 0))=$A52, 1, 0)))), "")</f>
        <v/>
      </c>
      <c r="D52" s="35" t="str" cm="1">
        <f t="array" ref="D52">IFERROR(IF(OR($A52="", D$5=""), "", IF(SUM(IF(INDEX(_xlfn._xlws.FILTER(#REF!, tblPiNAnalysis[Population Group]=D$5), 0, MATCH(_xlfn.CONCAT($Q$2, "%"), #REF!, 0))=$A52, 1, 0))=0, "",SUM(IF(INDEX(_xlfn._xlws.FILTER(#REF!, tblPiNAnalysis[Population Group]=D$5), 0, MATCH(_xlfn.CONCAT($Q$2, "%"), #REF!, 0))=$A52, 1, 0)))), "")</f>
        <v/>
      </c>
      <c r="E52" s="35" t="str" cm="1">
        <f t="array" ref="E52">IFERROR(IF(OR($A52="", E$5=""), "", IF(SUM(IF(INDEX(_xlfn._xlws.FILTER(#REF!, tblPiNAnalysis[Population Group]=E$5), 0, MATCH(_xlfn.CONCAT($Q$2, "%"), #REF!, 0))=$A52, 1, 0))=0, "",SUM(IF(INDEX(_xlfn._xlws.FILTER(#REF!, tblPiNAnalysis[Population Group]=E$5), 0, MATCH(_xlfn.CONCAT($Q$2, "%"), #REF!, 0))=$A52, 1, 0)))), "")</f>
        <v/>
      </c>
      <c r="F52" s="35" t="str" cm="1">
        <f t="array" ref="F52">IFERROR(IF(OR($A52="", F$5=""), "", IF(SUM(IF(INDEX(_xlfn._xlws.FILTER(#REF!, tblPiNAnalysis[CCCM]=F$5), 0, MATCH(_xlfn.CONCAT($Q$2, "%"), #REF!, 0))=$A52, 1, 0))=0, "",SUM(IF(INDEX(_xlfn._xlws.FILTER(#REF!, tblPiNAnalysis[CCCM]=F$5), 0, MATCH(_xlfn.CONCAT($Q$2, "%"), #REF!, 0))=$A52, 1, 0)))), "")</f>
        <v/>
      </c>
      <c r="H52" s="37"/>
      <c r="I52" s="35" t="str" cm="1">
        <f t="array" ref="I52">IF($H52="", "", IF($H52=2, SUM(IF(INDEX(_xlfn._xlws.FILTER(#REF!,#REF!= I$5), 0, MATCH($Q$2,#REF!, 0))&gt;1.9, 1, 0)), IF(SUM(IF(INDEX(_xlfn._xlws.FILTER(#REF!,#REF!= I$5), 0, MATCH($Q$2,#REF!, 0))=$H52, 1, 0))=0, "", SUM(IF(INDEX(_xlfn._xlws.FILTER(#REF!,#REF!= I$5), 0, MATCH($Q$2,#REF!, 0))=$H52, 1, 0)))))</f>
        <v/>
      </c>
      <c r="J52" s="35" t="str" cm="1">
        <f t="array" ref="J52">IFERROR(IF(OR($H52="", J51=""), "", IF($H52=2, SUM(IF(INDEX(_xlfn._xlws.FILTER(#REF!,#REF!= J$5), 0, MATCH($Q$2,#REF!, 0))&gt;1.9, 1, 0)), IF(SUM(IF(INDEX(_xlfn._xlws.FILTER(#REF!,#REF!= J$5), 0, MATCH($Q$2,#REF!, 0))=$H52, 1, 0))=0, "", SUM(IF(INDEX(_xlfn._xlws.FILTER(#REF!,#REF!= J$5), 0, MATCH($Q$2,#REF!, 0))=$H52, 1, 0))))), "")</f>
        <v/>
      </c>
      <c r="K52" s="35" t="str" cm="1">
        <f t="array" ref="K52">IFERROR(IF(OR($H52="", K51=""), "", IF($H52=2, SUM(IF(INDEX(_xlfn._xlws.FILTER(#REF!,#REF!= K$5), 0, MATCH($Q$2,#REF!, 0))&gt;1.9, 1, 0)), IF(SUM(IF(INDEX(_xlfn._xlws.FILTER(#REF!,#REF!= K$5), 0, MATCH($Q$2,#REF!, 0))=$H52, 1, 0))=0, "", SUM(IF(INDEX(_xlfn._xlws.FILTER(#REF!,#REF!= K$5), 0, MATCH($Q$2,#REF!, 0))=$H52, 1, 0))))), "")</f>
        <v/>
      </c>
      <c r="L52" s="35" t="str" cm="1">
        <f t="array" ref="L52">IFERROR(IF(OR($H52="", L51=""), "", IF($H52=2, SUM(IF(INDEX(_xlfn._xlws.FILTER(#REF!,#REF!= L$5), 0, MATCH($Q$2,#REF!, 0))&gt;1.9, 1, 0)), IF(SUM(IF(INDEX(_xlfn._xlws.FILTER(#REF!,#REF!= L$5), 0, MATCH($Q$2,#REF!, 0))=$H52, 1, 0))=0, "", SUM(IF(INDEX(_xlfn._xlws.FILTER(#REF!,#REF!= L$5), 0, MATCH($Q$2,#REF!, 0))=$H52, 1, 0))))), "")</f>
        <v/>
      </c>
      <c r="M52" s="35" t="str" cm="1">
        <f t="array" ref="M52">IFERROR(IF(OR($H52="", M51=""), "", IF($H52=2, SUM(IF(INDEX(_xlfn._xlws.FILTER(#REF!,#REF!= M$5), 0, MATCH($Q$2,#REF!, 0))&gt;1.9, 1, 0)), IF(SUM(IF(INDEX(_xlfn._xlws.FILTER(#REF!,#REF!= M$5), 0, MATCH($Q$2,#REF!, 0))=$H52, 1, 0))=0, "", SUM(IF(INDEX(_xlfn._xlws.FILTER(#REF!,#REF!= M$5), 0, MATCH($Q$2,#REF!, 0))=$H52, 1, 0))))), "")</f>
        <v/>
      </c>
    </row>
    <row r="53" spans="1:13" x14ac:dyDescent="0.55000000000000004">
      <c r="A53" s="37"/>
      <c r="B53" s="35" t="str" cm="1">
        <f t="array" ref="B53">IF($A53="", "", IF(SUM(IF(INDEX(_xlfn._xlws.FILTER(#REF!, tblPiNAnalysis[Population Group]=B$5), 0, MATCH(_xlfn.CONCAT($Q$2, "%"), #REF!, 0))=$A53, 1, 0))=0, "",SUM(IF(INDEX(_xlfn._xlws.FILTER(#REF!, tblPiNAnalysis[Population Group]=B$5), 0, MATCH(_xlfn.CONCAT($Q$2, "%"), #REF!, 0))=$A53, 1, 0))))</f>
        <v/>
      </c>
      <c r="C53" s="35" t="str" cm="1">
        <f t="array" ref="C53">IFERROR(IF(OR($A53="", C$5=""), "", IF(SUM(IF(INDEX(_xlfn._xlws.FILTER(#REF!, tblPiNAnalysis[Population Group]=C$5), 0, MATCH(_xlfn.CONCAT($Q$2, "%"), #REF!, 0))=$A53, 1, 0))=0, "",SUM(IF(INDEX(_xlfn._xlws.FILTER(#REF!, tblPiNAnalysis[Population Group]=C$5), 0, MATCH(_xlfn.CONCAT($Q$2, "%"), #REF!, 0))=$A53, 1, 0)))), "")</f>
        <v/>
      </c>
      <c r="D53" s="35" t="str" cm="1">
        <f t="array" ref="D53">IFERROR(IF(OR($A53="", D$5=""), "", IF(SUM(IF(INDEX(_xlfn._xlws.FILTER(#REF!, tblPiNAnalysis[Population Group]=D$5), 0, MATCH(_xlfn.CONCAT($Q$2, "%"), #REF!, 0))=$A53, 1, 0))=0, "",SUM(IF(INDEX(_xlfn._xlws.FILTER(#REF!, tblPiNAnalysis[Population Group]=D$5), 0, MATCH(_xlfn.CONCAT($Q$2, "%"), #REF!, 0))=$A53, 1, 0)))), "")</f>
        <v/>
      </c>
      <c r="E53" s="35" t="str" cm="1">
        <f t="array" ref="E53">IFERROR(IF(OR($A53="", E$5=""), "", IF(SUM(IF(INDEX(_xlfn._xlws.FILTER(#REF!, tblPiNAnalysis[Population Group]=E$5), 0, MATCH(_xlfn.CONCAT($Q$2, "%"), #REF!, 0))=$A53, 1, 0))=0, "",SUM(IF(INDEX(_xlfn._xlws.FILTER(#REF!, tblPiNAnalysis[Population Group]=E$5), 0, MATCH(_xlfn.CONCAT($Q$2, "%"), #REF!, 0))=$A53, 1, 0)))), "")</f>
        <v/>
      </c>
      <c r="F53" s="35" t="str" cm="1">
        <f t="array" ref="F53">IFERROR(IF(OR($A53="", F$5=""), "", IF(SUM(IF(INDEX(_xlfn._xlws.FILTER(#REF!, tblPiNAnalysis[CCCM]=F$5), 0, MATCH(_xlfn.CONCAT($Q$2, "%"), #REF!, 0))=$A53, 1, 0))=0, "",SUM(IF(INDEX(_xlfn._xlws.FILTER(#REF!, tblPiNAnalysis[CCCM]=F$5), 0, MATCH(_xlfn.CONCAT($Q$2, "%"), #REF!, 0))=$A53, 1, 0)))), "")</f>
        <v/>
      </c>
      <c r="H53" s="37"/>
      <c r="I53" s="35" t="str" cm="1">
        <f t="array" ref="I53">IF($H53="", "", IF($H53=2, SUM(IF(INDEX(_xlfn._xlws.FILTER(#REF!,#REF!= I$5), 0, MATCH($Q$2,#REF!, 0))&gt;1.9, 1, 0)), IF(SUM(IF(INDEX(_xlfn._xlws.FILTER(#REF!,#REF!= I$5), 0, MATCH($Q$2,#REF!, 0))=$H53, 1, 0))=0, "", SUM(IF(INDEX(_xlfn._xlws.FILTER(#REF!,#REF!= I$5), 0, MATCH($Q$2,#REF!, 0))=$H53, 1, 0)))))</f>
        <v/>
      </c>
      <c r="J53" s="35" t="str" cm="1">
        <f t="array" ref="J53">IFERROR(IF(OR($H53="", J52=""), "", IF($H53=2, SUM(IF(INDEX(_xlfn._xlws.FILTER(#REF!,#REF!= J$5), 0, MATCH($Q$2,#REF!, 0))&gt;1.9, 1, 0)), IF(SUM(IF(INDEX(_xlfn._xlws.FILTER(#REF!,#REF!= J$5), 0, MATCH($Q$2,#REF!, 0))=$H53, 1, 0))=0, "", SUM(IF(INDEX(_xlfn._xlws.FILTER(#REF!,#REF!= J$5), 0, MATCH($Q$2,#REF!, 0))=$H53, 1, 0))))), "")</f>
        <v/>
      </c>
      <c r="K53" s="35" t="str" cm="1">
        <f t="array" ref="K53">IFERROR(IF(OR($H53="", K52=""), "", IF($H53=2, SUM(IF(INDEX(_xlfn._xlws.FILTER(#REF!,#REF!= K$5), 0, MATCH($Q$2,#REF!, 0))&gt;1.9, 1, 0)), IF(SUM(IF(INDEX(_xlfn._xlws.FILTER(#REF!,#REF!= K$5), 0, MATCH($Q$2,#REF!, 0))=$H53, 1, 0))=0, "", SUM(IF(INDEX(_xlfn._xlws.FILTER(#REF!,#REF!= K$5), 0, MATCH($Q$2,#REF!, 0))=$H53, 1, 0))))), "")</f>
        <v/>
      </c>
      <c r="L53" s="35" t="str" cm="1">
        <f t="array" ref="L53">IFERROR(IF(OR($H53="", L52=""), "", IF($H53=2, SUM(IF(INDEX(_xlfn._xlws.FILTER(#REF!,#REF!= L$5), 0, MATCH($Q$2,#REF!, 0))&gt;1.9, 1, 0)), IF(SUM(IF(INDEX(_xlfn._xlws.FILTER(#REF!,#REF!= L$5), 0, MATCH($Q$2,#REF!, 0))=$H53, 1, 0))=0, "", SUM(IF(INDEX(_xlfn._xlws.FILTER(#REF!,#REF!= L$5), 0, MATCH($Q$2,#REF!, 0))=$H53, 1, 0))))), "")</f>
        <v/>
      </c>
      <c r="M53" s="35" t="str" cm="1">
        <f t="array" ref="M53">IFERROR(IF(OR($H53="", M52=""), "", IF($H53=2, SUM(IF(INDEX(_xlfn._xlws.FILTER(#REF!,#REF!= M$5), 0, MATCH($Q$2,#REF!, 0))&gt;1.9, 1, 0)), IF(SUM(IF(INDEX(_xlfn._xlws.FILTER(#REF!,#REF!= M$5), 0, MATCH($Q$2,#REF!, 0))=$H53, 1, 0))=0, "", SUM(IF(INDEX(_xlfn._xlws.FILTER(#REF!,#REF!= M$5), 0, MATCH($Q$2,#REF!, 0))=$H53, 1, 0))))), "")</f>
        <v/>
      </c>
    </row>
    <row r="54" spans="1:13" x14ac:dyDescent="0.55000000000000004">
      <c r="A54" s="37"/>
      <c r="B54" s="35" t="str" cm="1">
        <f t="array" ref="B54">IF($A54="", "", IF(SUM(IF(INDEX(_xlfn._xlws.FILTER(#REF!, tblPiNAnalysis[Population Group]=B$5), 0, MATCH(_xlfn.CONCAT($Q$2, "%"), #REF!, 0))=$A54, 1, 0))=0, "",SUM(IF(INDEX(_xlfn._xlws.FILTER(#REF!, tblPiNAnalysis[Population Group]=B$5), 0, MATCH(_xlfn.CONCAT($Q$2, "%"), #REF!, 0))=$A54, 1, 0))))</f>
        <v/>
      </c>
      <c r="C54" s="35" t="str" cm="1">
        <f t="array" ref="C54">IFERROR(IF(OR($A54="", C$5=""), "", IF(SUM(IF(INDEX(_xlfn._xlws.FILTER(#REF!, tblPiNAnalysis[Population Group]=C$5), 0, MATCH(_xlfn.CONCAT($Q$2, "%"), #REF!, 0))=$A54, 1, 0))=0, "",SUM(IF(INDEX(_xlfn._xlws.FILTER(#REF!, tblPiNAnalysis[Population Group]=C$5), 0, MATCH(_xlfn.CONCAT($Q$2, "%"), #REF!, 0))=$A54, 1, 0)))), "")</f>
        <v/>
      </c>
      <c r="D54" s="35" t="str" cm="1">
        <f t="array" ref="D54">IFERROR(IF(OR($A54="", D$5=""), "", IF(SUM(IF(INDEX(_xlfn._xlws.FILTER(#REF!, tblPiNAnalysis[Population Group]=D$5), 0, MATCH(_xlfn.CONCAT($Q$2, "%"), #REF!, 0))=$A54, 1, 0))=0, "",SUM(IF(INDEX(_xlfn._xlws.FILTER(#REF!, tblPiNAnalysis[Population Group]=D$5), 0, MATCH(_xlfn.CONCAT($Q$2, "%"), #REF!, 0))=$A54, 1, 0)))), "")</f>
        <v/>
      </c>
      <c r="E54" s="35" t="str" cm="1">
        <f t="array" ref="E54">IFERROR(IF(OR($A54="", E$5=""), "", IF(SUM(IF(INDEX(_xlfn._xlws.FILTER(#REF!, tblPiNAnalysis[Population Group]=E$5), 0, MATCH(_xlfn.CONCAT($Q$2, "%"), #REF!, 0))=$A54, 1, 0))=0, "",SUM(IF(INDEX(_xlfn._xlws.FILTER(#REF!, tblPiNAnalysis[Population Group]=E$5), 0, MATCH(_xlfn.CONCAT($Q$2, "%"), #REF!, 0))=$A54, 1, 0)))), "")</f>
        <v/>
      </c>
      <c r="F54" s="35" t="str" cm="1">
        <f t="array" ref="F54">IFERROR(IF(OR($A54="", F$5=""), "", IF(SUM(IF(INDEX(_xlfn._xlws.FILTER(#REF!, tblPiNAnalysis[CCCM]=F$5), 0, MATCH(_xlfn.CONCAT($Q$2, "%"), #REF!, 0))=$A54, 1, 0))=0, "",SUM(IF(INDEX(_xlfn._xlws.FILTER(#REF!, tblPiNAnalysis[CCCM]=F$5), 0, MATCH(_xlfn.CONCAT($Q$2, "%"), #REF!, 0))=$A54, 1, 0)))), "")</f>
        <v/>
      </c>
      <c r="H54" s="37"/>
      <c r="I54" s="35" t="str" cm="1">
        <f t="array" ref="I54">IF($H54="", "", IF($H54=2, SUM(IF(INDEX(_xlfn._xlws.FILTER(#REF!,#REF!= I$5), 0, MATCH($Q$2,#REF!, 0))&gt;1.9, 1, 0)), IF(SUM(IF(INDEX(_xlfn._xlws.FILTER(#REF!,#REF!= I$5), 0, MATCH($Q$2,#REF!, 0))=$H54, 1, 0))=0, "", SUM(IF(INDEX(_xlfn._xlws.FILTER(#REF!,#REF!= I$5), 0, MATCH($Q$2,#REF!, 0))=$H54, 1, 0)))))</f>
        <v/>
      </c>
      <c r="J54" s="35" t="str" cm="1">
        <f t="array" ref="J54">IFERROR(IF(OR($H54="", J53=""), "", IF($H54=2, SUM(IF(INDEX(_xlfn._xlws.FILTER(#REF!,#REF!= J$5), 0, MATCH($Q$2,#REF!, 0))&gt;1.9, 1, 0)), IF(SUM(IF(INDEX(_xlfn._xlws.FILTER(#REF!,#REF!= J$5), 0, MATCH($Q$2,#REF!, 0))=$H54, 1, 0))=0, "", SUM(IF(INDEX(_xlfn._xlws.FILTER(#REF!,#REF!= J$5), 0, MATCH($Q$2,#REF!, 0))=$H54, 1, 0))))), "")</f>
        <v/>
      </c>
      <c r="K54" s="35" t="str" cm="1">
        <f t="array" ref="K54">IFERROR(IF(OR($H54="", K53=""), "", IF($H54=2, SUM(IF(INDEX(_xlfn._xlws.FILTER(#REF!,#REF!= K$5), 0, MATCH($Q$2,#REF!, 0))&gt;1.9, 1, 0)), IF(SUM(IF(INDEX(_xlfn._xlws.FILTER(#REF!,#REF!= K$5), 0, MATCH($Q$2,#REF!, 0))=$H54, 1, 0))=0, "", SUM(IF(INDEX(_xlfn._xlws.FILTER(#REF!,#REF!= K$5), 0, MATCH($Q$2,#REF!, 0))=$H54, 1, 0))))), "")</f>
        <v/>
      </c>
      <c r="L54" s="35" t="str" cm="1">
        <f t="array" ref="L54">IFERROR(IF(OR($H54="", L53=""), "", IF($H54=2, SUM(IF(INDEX(_xlfn._xlws.FILTER(#REF!,#REF!= L$5), 0, MATCH($Q$2,#REF!, 0))&gt;1.9, 1, 0)), IF(SUM(IF(INDEX(_xlfn._xlws.FILTER(#REF!,#REF!= L$5), 0, MATCH($Q$2,#REF!, 0))=$H54, 1, 0))=0, "", SUM(IF(INDEX(_xlfn._xlws.FILTER(#REF!,#REF!= L$5), 0, MATCH($Q$2,#REF!, 0))=$H54, 1, 0))))), "")</f>
        <v/>
      </c>
      <c r="M54" s="35" t="str" cm="1">
        <f t="array" ref="M54">IFERROR(IF(OR($H54="", M53=""), "", IF($H54=2, SUM(IF(INDEX(_xlfn._xlws.FILTER(#REF!,#REF!= M$5), 0, MATCH($Q$2,#REF!, 0))&gt;1.9, 1, 0)), IF(SUM(IF(INDEX(_xlfn._xlws.FILTER(#REF!,#REF!= M$5), 0, MATCH($Q$2,#REF!, 0))=$H54, 1, 0))=0, "", SUM(IF(INDEX(_xlfn._xlws.FILTER(#REF!,#REF!= M$5), 0, MATCH($Q$2,#REF!, 0))=$H54, 1, 0))))), "")</f>
        <v/>
      </c>
    </row>
    <row r="55" spans="1:13" x14ac:dyDescent="0.55000000000000004">
      <c r="A55" s="37"/>
      <c r="B55" s="35" t="str" cm="1">
        <f t="array" ref="B55">IF($A55="", "", IF(SUM(IF(INDEX(_xlfn._xlws.FILTER(#REF!, tblPiNAnalysis[Population Group]=B$5), 0, MATCH(_xlfn.CONCAT($Q$2, "%"), #REF!, 0))=$A55, 1, 0))=0, "",SUM(IF(INDEX(_xlfn._xlws.FILTER(#REF!, tblPiNAnalysis[Population Group]=B$5), 0, MATCH(_xlfn.CONCAT($Q$2, "%"), #REF!, 0))=$A55, 1, 0))))</f>
        <v/>
      </c>
      <c r="C55" s="35" t="str" cm="1">
        <f t="array" ref="C55">IFERROR(IF(OR($A55="", C$5=""), "", IF(SUM(IF(INDEX(_xlfn._xlws.FILTER(#REF!, tblPiNAnalysis[Population Group]=C$5), 0, MATCH(_xlfn.CONCAT($Q$2, "%"), #REF!, 0))=$A55, 1, 0))=0, "",SUM(IF(INDEX(_xlfn._xlws.FILTER(#REF!, tblPiNAnalysis[Population Group]=C$5), 0, MATCH(_xlfn.CONCAT($Q$2, "%"), #REF!, 0))=$A55, 1, 0)))), "")</f>
        <v/>
      </c>
      <c r="D55" s="35" t="str" cm="1">
        <f t="array" ref="D55">IFERROR(IF(OR($A55="", D$5=""), "", IF(SUM(IF(INDEX(_xlfn._xlws.FILTER(#REF!, tblPiNAnalysis[Population Group]=D$5), 0, MATCH(_xlfn.CONCAT($Q$2, "%"), #REF!, 0))=$A55, 1, 0))=0, "",SUM(IF(INDEX(_xlfn._xlws.FILTER(#REF!, tblPiNAnalysis[Population Group]=D$5), 0, MATCH(_xlfn.CONCAT($Q$2, "%"), #REF!, 0))=$A55, 1, 0)))), "")</f>
        <v/>
      </c>
      <c r="E55" s="35" t="str" cm="1">
        <f t="array" ref="E55">IFERROR(IF(OR($A55="", E$5=""), "", IF(SUM(IF(INDEX(_xlfn._xlws.FILTER(#REF!, tblPiNAnalysis[Population Group]=E$5), 0, MATCH(_xlfn.CONCAT($Q$2, "%"), #REF!, 0))=$A55, 1, 0))=0, "",SUM(IF(INDEX(_xlfn._xlws.FILTER(#REF!, tblPiNAnalysis[Population Group]=E$5), 0, MATCH(_xlfn.CONCAT($Q$2, "%"), #REF!, 0))=$A55, 1, 0)))), "")</f>
        <v/>
      </c>
      <c r="F55" s="35" t="str" cm="1">
        <f t="array" ref="F55">IFERROR(IF(OR($A55="", F$5=""), "", IF(SUM(IF(INDEX(_xlfn._xlws.FILTER(#REF!, tblPiNAnalysis[CCCM]=F$5), 0, MATCH(_xlfn.CONCAT($Q$2, "%"), #REF!, 0))=$A55, 1, 0))=0, "",SUM(IF(INDEX(_xlfn._xlws.FILTER(#REF!, tblPiNAnalysis[CCCM]=F$5), 0, MATCH(_xlfn.CONCAT($Q$2, "%"), #REF!, 0))=$A55, 1, 0)))), "")</f>
        <v/>
      </c>
      <c r="H55" s="37"/>
      <c r="I55" s="35" t="str" cm="1">
        <f t="array" ref="I55">IF($H55="", "", IF($H55=2, SUM(IF(INDEX(_xlfn._xlws.FILTER(#REF!,#REF!= I$5), 0, MATCH($Q$2,#REF!, 0))&gt;1.9, 1, 0)), IF(SUM(IF(INDEX(_xlfn._xlws.FILTER(#REF!,#REF!= I$5), 0, MATCH($Q$2,#REF!, 0))=$H55, 1, 0))=0, "", SUM(IF(INDEX(_xlfn._xlws.FILTER(#REF!,#REF!= I$5), 0, MATCH($Q$2,#REF!, 0))=$H55, 1, 0)))))</f>
        <v/>
      </c>
      <c r="J55" s="35" t="str" cm="1">
        <f t="array" ref="J55">IFERROR(IF(OR($H55="", J54=""), "", IF($H55=2, SUM(IF(INDEX(_xlfn._xlws.FILTER(#REF!,#REF!= J$5), 0, MATCH($Q$2,#REF!, 0))&gt;1.9, 1, 0)), IF(SUM(IF(INDEX(_xlfn._xlws.FILTER(#REF!,#REF!= J$5), 0, MATCH($Q$2,#REF!, 0))=$H55, 1, 0))=0, "", SUM(IF(INDEX(_xlfn._xlws.FILTER(#REF!,#REF!= J$5), 0, MATCH($Q$2,#REF!, 0))=$H55, 1, 0))))), "")</f>
        <v/>
      </c>
      <c r="K55" s="35" t="str" cm="1">
        <f t="array" ref="K55">IFERROR(IF(OR($H55="", K54=""), "", IF($H55=2, SUM(IF(INDEX(_xlfn._xlws.FILTER(#REF!,#REF!= K$5), 0, MATCH($Q$2,#REF!, 0))&gt;1.9, 1, 0)), IF(SUM(IF(INDEX(_xlfn._xlws.FILTER(#REF!,#REF!= K$5), 0, MATCH($Q$2,#REF!, 0))=$H55, 1, 0))=0, "", SUM(IF(INDEX(_xlfn._xlws.FILTER(#REF!,#REF!= K$5), 0, MATCH($Q$2,#REF!, 0))=$H55, 1, 0))))), "")</f>
        <v/>
      </c>
      <c r="L55" s="35" t="str" cm="1">
        <f t="array" ref="L55">IFERROR(IF(OR($H55="", L54=""), "", IF($H55=2, SUM(IF(INDEX(_xlfn._xlws.FILTER(#REF!,#REF!= L$5), 0, MATCH($Q$2,#REF!, 0))&gt;1.9, 1, 0)), IF(SUM(IF(INDEX(_xlfn._xlws.FILTER(#REF!,#REF!= L$5), 0, MATCH($Q$2,#REF!, 0))=$H55, 1, 0))=0, "", SUM(IF(INDEX(_xlfn._xlws.FILTER(#REF!,#REF!= L$5), 0, MATCH($Q$2,#REF!, 0))=$H55, 1, 0))))), "")</f>
        <v/>
      </c>
      <c r="M55" s="35" t="str" cm="1">
        <f t="array" ref="M55">IFERROR(IF(OR($H55="", M54=""), "", IF($H55=2, SUM(IF(INDEX(_xlfn._xlws.FILTER(#REF!,#REF!= M$5), 0, MATCH($Q$2,#REF!, 0))&gt;1.9, 1, 0)), IF(SUM(IF(INDEX(_xlfn._xlws.FILTER(#REF!,#REF!= M$5), 0, MATCH($Q$2,#REF!, 0))=$H55, 1, 0))=0, "", SUM(IF(INDEX(_xlfn._xlws.FILTER(#REF!,#REF!= M$5), 0, MATCH($Q$2,#REF!, 0))=$H55, 1, 0))))), "")</f>
        <v/>
      </c>
    </row>
    <row r="56" spans="1:13" x14ac:dyDescent="0.55000000000000004">
      <c r="A56" s="37"/>
      <c r="B56" s="35" t="str" cm="1">
        <f t="array" ref="B56">IF($A56="", "", IF(SUM(IF(INDEX(_xlfn._xlws.FILTER(#REF!, tblPiNAnalysis[Population Group]=B$5), 0, MATCH(_xlfn.CONCAT($Q$2, "%"), #REF!, 0))=$A56, 1, 0))=0, "",SUM(IF(INDEX(_xlfn._xlws.FILTER(#REF!, tblPiNAnalysis[Population Group]=B$5), 0, MATCH(_xlfn.CONCAT($Q$2, "%"), #REF!, 0))=$A56, 1, 0))))</f>
        <v/>
      </c>
      <c r="C56" s="35" t="str" cm="1">
        <f t="array" ref="C56">IFERROR(IF(OR($A56="", C$5=""), "", IF(SUM(IF(INDEX(_xlfn._xlws.FILTER(#REF!, tblPiNAnalysis[Population Group]=C$5), 0, MATCH(_xlfn.CONCAT($Q$2, "%"), #REF!, 0))=$A56, 1, 0))=0, "",SUM(IF(INDEX(_xlfn._xlws.FILTER(#REF!, tblPiNAnalysis[Population Group]=C$5), 0, MATCH(_xlfn.CONCAT($Q$2, "%"), #REF!, 0))=$A56, 1, 0)))), "")</f>
        <v/>
      </c>
      <c r="D56" s="35" t="str" cm="1">
        <f t="array" ref="D56">IFERROR(IF(OR($A56="", D$5=""), "", IF(SUM(IF(INDEX(_xlfn._xlws.FILTER(#REF!, tblPiNAnalysis[Population Group]=D$5), 0, MATCH(_xlfn.CONCAT($Q$2, "%"), #REF!, 0))=$A56, 1, 0))=0, "",SUM(IF(INDEX(_xlfn._xlws.FILTER(#REF!, tblPiNAnalysis[Population Group]=D$5), 0, MATCH(_xlfn.CONCAT($Q$2, "%"), #REF!, 0))=$A56, 1, 0)))), "")</f>
        <v/>
      </c>
      <c r="E56" s="35" t="str" cm="1">
        <f t="array" ref="E56">IFERROR(IF(OR($A56="", E$5=""), "", IF(SUM(IF(INDEX(_xlfn._xlws.FILTER(#REF!, tblPiNAnalysis[Population Group]=E$5), 0, MATCH(_xlfn.CONCAT($Q$2, "%"), #REF!, 0))=$A56, 1, 0))=0, "",SUM(IF(INDEX(_xlfn._xlws.FILTER(#REF!, tblPiNAnalysis[Population Group]=E$5), 0, MATCH(_xlfn.CONCAT($Q$2, "%"), #REF!, 0))=$A56, 1, 0)))), "")</f>
        <v/>
      </c>
      <c r="F56" s="35" t="str" cm="1">
        <f t="array" ref="F56">IFERROR(IF(OR($A56="", F$5=""), "", IF(SUM(IF(INDEX(_xlfn._xlws.FILTER(#REF!, tblPiNAnalysis[CCCM]=F$5), 0, MATCH(_xlfn.CONCAT($Q$2, "%"), #REF!, 0))=$A56, 1, 0))=0, "",SUM(IF(INDEX(_xlfn._xlws.FILTER(#REF!, tblPiNAnalysis[CCCM]=F$5), 0, MATCH(_xlfn.CONCAT($Q$2, "%"), #REF!, 0))=$A56, 1, 0)))), "")</f>
        <v/>
      </c>
      <c r="H56" s="37"/>
      <c r="I56" s="35" t="str" cm="1">
        <f t="array" ref="I56">IF($H56="", "", IF($H56=2, SUM(IF(INDEX(_xlfn._xlws.FILTER(#REF!,#REF!= I$5), 0, MATCH($Q$2,#REF!, 0))&gt;1.9, 1, 0)), IF(SUM(IF(INDEX(_xlfn._xlws.FILTER(#REF!,#REF!= I$5), 0, MATCH($Q$2,#REF!, 0))=$H56, 1, 0))=0, "", SUM(IF(INDEX(_xlfn._xlws.FILTER(#REF!,#REF!= I$5), 0, MATCH($Q$2,#REF!, 0))=$H56, 1, 0)))))</f>
        <v/>
      </c>
      <c r="J56" s="35" t="str" cm="1">
        <f t="array" ref="J56">IFERROR(IF(OR($H56="", J55=""), "", IF($H56=2, SUM(IF(INDEX(_xlfn._xlws.FILTER(#REF!,#REF!= J$5), 0, MATCH($Q$2,#REF!, 0))&gt;1.9, 1, 0)), IF(SUM(IF(INDEX(_xlfn._xlws.FILTER(#REF!,#REF!= J$5), 0, MATCH($Q$2,#REF!, 0))=$H56, 1, 0))=0, "", SUM(IF(INDEX(_xlfn._xlws.FILTER(#REF!,#REF!= J$5), 0, MATCH($Q$2,#REF!, 0))=$H56, 1, 0))))), "")</f>
        <v/>
      </c>
      <c r="K56" s="35" t="str" cm="1">
        <f t="array" ref="K56">IFERROR(IF(OR($H56="", K55=""), "", IF($H56=2, SUM(IF(INDEX(_xlfn._xlws.FILTER(#REF!,#REF!= K$5), 0, MATCH($Q$2,#REF!, 0))&gt;1.9, 1, 0)), IF(SUM(IF(INDEX(_xlfn._xlws.FILTER(#REF!,#REF!= K$5), 0, MATCH($Q$2,#REF!, 0))=$H56, 1, 0))=0, "", SUM(IF(INDEX(_xlfn._xlws.FILTER(#REF!,#REF!= K$5), 0, MATCH($Q$2,#REF!, 0))=$H56, 1, 0))))), "")</f>
        <v/>
      </c>
      <c r="L56" s="35" t="str" cm="1">
        <f t="array" ref="L56">IFERROR(IF(OR($H56="", L55=""), "", IF($H56=2, SUM(IF(INDEX(_xlfn._xlws.FILTER(#REF!,#REF!= L$5), 0, MATCH($Q$2,#REF!, 0))&gt;1.9, 1, 0)), IF(SUM(IF(INDEX(_xlfn._xlws.FILTER(#REF!,#REF!= L$5), 0, MATCH($Q$2,#REF!, 0))=$H56, 1, 0))=0, "", SUM(IF(INDEX(_xlfn._xlws.FILTER(#REF!,#REF!= L$5), 0, MATCH($Q$2,#REF!, 0))=$H56, 1, 0))))), "")</f>
        <v/>
      </c>
      <c r="M56" s="35" t="str" cm="1">
        <f t="array" ref="M56">IFERROR(IF(OR($H56="", M55=""), "", IF($H56=2, SUM(IF(INDEX(_xlfn._xlws.FILTER(#REF!,#REF!= M$5), 0, MATCH($Q$2,#REF!, 0))&gt;1.9, 1, 0)), IF(SUM(IF(INDEX(_xlfn._xlws.FILTER(#REF!,#REF!= M$5), 0, MATCH($Q$2,#REF!, 0))=$H56, 1, 0))=0, "", SUM(IF(INDEX(_xlfn._xlws.FILTER(#REF!,#REF!= M$5), 0, MATCH($Q$2,#REF!, 0))=$H56, 1, 0))))), "")</f>
        <v/>
      </c>
    </row>
    <row r="57" spans="1:13" x14ac:dyDescent="0.55000000000000004">
      <c r="A57" s="37"/>
      <c r="B57" s="35" t="str" cm="1">
        <f t="array" ref="B57">IF($A57="", "", IF(SUM(IF(INDEX(_xlfn._xlws.FILTER(#REF!, tblPiNAnalysis[Population Group]=B$5), 0, MATCH(_xlfn.CONCAT($Q$2, "%"), #REF!, 0))=$A57, 1, 0))=0, "",SUM(IF(INDEX(_xlfn._xlws.FILTER(#REF!, tblPiNAnalysis[Population Group]=B$5), 0, MATCH(_xlfn.CONCAT($Q$2, "%"), #REF!, 0))=$A57, 1, 0))))</f>
        <v/>
      </c>
      <c r="C57" s="35" t="str" cm="1">
        <f t="array" ref="C57">IFERROR(IF(OR($A57="", C$5=""), "", IF(SUM(IF(INDEX(_xlfn._xlws.FILTER(#REF!, tblPiNAnalysis[Population Group]=C$5), 0, MATCH(_xlfn.CONCAT($Q$2, "%"), #REF!, 0))=$A57, 1, 0))=0, "",SUM(IF(INDEX(_xlfn._xlws.FILTER(#REF!, tblPiNAnalysis[Population Group]=C$5), 0, MATCH(_xlfn.CONCAT($Q$2, "%"), #REF!, 0))=$A57, 1, 0)))), "")</f>
        <v/>
      </c>
      <c r="D57" s="35" t="str" cm="1">
        <f t="array" ref="D57">IFERROR(IF(OR($A57="", D$5=""), "", IF(SUM(IF(INDEX(_xlfn._xlws.FILTER(#REF!, tblPiNAnalysis[Population Group]=D$5), 0, MATCH(_xlfn.CONCAT($Q$2, "%"), #REF!, 0))=$A57, 1, 0))=0, "",SUM(IF(INDEX(_xlfn._xlws.FILTER(#REF!, tblPiNAnalysis[Population Group]=D$5), 0, MATCH(_xlfn.CONCAT($Q$2, "%"), #REF!, 0))=$A57, 1, 0)))), "")</f>
        <v/>
      </c>
      <c r="E57" s="35" t="str" cm="1">
        <f t="array" ref="E57">IFERROR(IF(OR($A57="", E$5=""), "", IF(SUM(IF(INDEX(_xlfn._xlws.FILTER(#REF!, tblPiNAnalysis[Population Group]=E$5), 0, MATCH(_xlfn.CONCAT($Q$2, "%"), #REF!, 0))=$A57, 1, 0))=0, "",SUM(IF(INDEX(_xlfn._xlws.FILTER(#REF!, tblPiNAnalysis[Population Group]=E$5), 0, MATCH(_xlfn.CONCAT($Q$2, "%"), #REF!, 0))=$A57, 1, 0)))), "")</f>
        <v/>
      </c>
      <c r="F57" s="35" t="str" cm="1">
        <f t="array" ref="F57">IFERROR(IF(OR($A57="", F$5=""), "", IF(SUM(IF(INDEX(_xlfn._xlws.FILTER(#REF!, tblPiNAnalysis[CCCM]=F$5), 0, MATCH(_xlfn.CONCAT($Q$2, "%"), #REF!, 0))=$A57, 1, 0))=0, "",SUM(IF(INDEX(_xlfn._xlws.FILTER(#REF!, tblPiNAnalysis[CCCM]=F$5), 0, MATCH(_xlfn.CONCAT($Q$2, "%"), #REF!, 0))=$A57, 1, 0)))), "")</f>
        <v/>
      </c>
      <c r="H57" s="37"/>
      <c r="I57" s="35" t="str" cm="1">
        <f t="array" ref="I57">IF($H57="", "", IF($H57=2, SUM(IF(INDEX(_xlfn._xlws.FILTER(#REF!,#REF!= I$5), 0, MATCH($Q$2,#REF!, 0))&gt;1.9, 1, 0)), IF(SUM(IF(INDEX(_xlfn._xlws.FILTER(#REF!,#REF!= I$5), 0, MATCH($Q$2,#REF!, 0))=$H57, 1, 0))=0, "", SUM(IF(INDEX(_xlfn._xlws.FILTER(#REF!,#REF!= I$5), 0, MATCH($Q$2,#REF!, 0))=$H57, 1, 0)))))</f>
        <v/>
      </c>
      <c r="J57" s="35" t="str" cm="1">
        <f t="array" ref="J57">IFERROR(IF(OR($H57="", J56=""), "", IF($H57=2, SUM(IF(INDEX(_xlfn._xlws.FILTER(#REF!,#REF!= J$5), 0, MATCH($Q$2,#REF!, 0))&gt;1.9, 1, 0)), IF(SUM(IF(INDEX(_xlfn._xlws.FILTER(#REF!,#REF!= J$5), 0, MATCH($Q$2,#REF!, 0))=$H57, 1, 0))=0, "", SUM(IF(INDEX(_xlfn._xlws.FILTER(#REF!,#REF!= J$5), 0, MATCH($Q$2,#REF!, 0))=$H57, 1, 0))))), "")</f>
        <v/>
      </c>
      <c r="K57" s="35" t="str" cm="1">
        <f t="array" ref="K57">IFERROR(IF(OR($H57="", K56=""), "", IF($H57=2, SUM(IF(INDEX(_xlfn._xlws.FILTER(#REF!,#REF!= K$5), 0, MATCH($Q$2,#REF!, 0))&gt;1.9, 1, 0)), IF(SUM(IF(INDEX(_xlfn._xlws.FILTER(#REF!,#REF!= K$5), 0, MATCH($Q$2,#REF!, 0))=$H57, 1, 0))=0, "", SUM(IF(INDEX(_xlfn._xlws.FILTER(#REF!,#REF!= K$5), 0, MATCH($Q$2,#REF!, 0))=$H57, 1, 0))))), "")</f>
        <v/>
      </c>
      <c r="L57" s="35" t="str" cm="1">
        <f t="array" ref="L57">IFERROR(IF(OR($H57="", L56=""), "", IF($H57=2, SUM(IF(INDEX(_xlfn._xlws.FILTER(#REF!,#REF!= L$5), 0, MATCH($Q$2,#REF!, 0))&gt;1.9, 1, 0)), IF(SUM(IF(INDEX(_xlfn._xlws.FILTER(#REF!,#REF!= L$5), 0, MATCH($Q$2,#REF!, 0))=$H57, 1, 0))=0, "", SUM(IF(INDEX(_xlfn._xlws.FILTER(#REF!,#REF!= L$5), 0, MATCH($Q$2,#REF!, 0))=$H57, 1, 0))))), "")</f>
        <v/>
      </c>
      <c r="M57" s="35" t="str" cm="1">
        <f t="array" ref="M57">IFERROR(IF(OR($H57="", M56=""), "", IF($H57=2, SUM(IF(INDEX(_xlfn._xlws.FILTER(#REF!,#REF!= M$5), 0, MATCH($Q$2,#REF!, 0))&gt;1.9, 1, 0)), IF(SUM(IF(INDEX(_xlfn._xlws.FILTER(#REF!,#REF!= M$5), 0, MATCH($Q$2,#REF!, 0))=$H57, 1, 0))=0, "", SUM(IF(INDEX(_xlfn._xlws.FILTER(#REF!,#REF!= M$5), 0, MATCH($Q$2,#REF!, 0))=$H57, 1, 0))))), "")</f>
        <v/>
      </c>
    </row>
    <row r="58" spans="1:13" x14ac:dyDescent="0.55000000000000004">
      <c r="A58" s="37"/>
      <c r="B58" s="35" t="str" cm="1">
        <f t="array" ref="B58">IF($A58="", "", IF(SUM(IF(INDEX(_xlfn._xlws.FILTER(#REF!, tblPiNAnalysis[Population Group]=B$5), 0, MATCH(_xlfn.CONCAT($Q$2, "%"), #REF!, 0))=$A58, 1, 0))=0, "",SUM(IF(INDEX(_xlfn._xlws.FILTER(#REF!, tblPiNAnalysis[Population Group]=B$5), 0, MATCH(_xlfn.CONCAT($Q$2, "%"), #REF!, 0))=$A58, 1, 0))))</f>
        <v/>
      </c>
      <c r="C58" s="35" t="str" cm="1">
        <f t="array" ref="C58">IFERROR(IF(OR($A58="", C$5=""), "", IF(SUM(IF(INDEX(_xlfn._xlws.FILTER(#REF!, tblPiNAnalysis[Population Group]=C$5), 0, MATCH(_xlfn.CONCAT($Q$2, "%"), #REF!, 0))=$A58, 1, 0))=0, "",SUM(IF(INDEX(_xlfn._xlws.FILTER(#REF!, tblPiNAnalysis[Population Group]=C$5), 0, MATCH(_xlfn.CONCAT($Q$2, "%"), #REF!, 0))=$A58, 1, 0)))), "")</f>
        <v/>
      </c>
      <c r="D58" s="35" t="str" cm="1">
        <f t="array" ref="D58">IFERROR(IF(OR($A58="", D$5=""), "", IF(SUM(IF(INDEX(_xlfn._xlws.FILTER(#REF!, tblPiNAnalysis[Population Group]=D$5), 0, MATCH(_xlfn.CONCAT($Q$2, "%"), #REF!, 0))=$A58, 1, 0))=0, "",SUM(IF(INDEX(_xlfn._xlws.FILTER(#REF!, tblPiNAnalysis[Population Group]=D$5), 0, MATCH(_xlfn.CONCAT($Q$2, "%"), #REF!, 0))=$A58, 1, 0)))), "")</f>
        <v/>
      </c>
      <c r="E58" s="35" t="str" cm="1">
        <f t="array" ref="E58">IFERROR(IF(OR($A58="", E$5=""), "", IF(SUM(IF(INDEX(_xlfn._xlws.FILTER(#REF!, tblPiNAnalysis[Population Group]=E$5), 0, MATCH(_xlfn.CONCAT($Q$2, "%"), #REF!, 0))=$A58, 1, 0))=0, "",SUM(IF(INDEX(_xlfn._xlws.FILTER(#REF!, tblPiNAnalysis[Population Group]=E$5), 0, MATCH(_xlfn.CONCAT($Q$2, "%"), #REF!, 0))=$A58, 1, 0)))), "")</f>
        <v/>
      </c>
      <c r="F58" s="35" t="str" cm="1">
        <f t="array" ref="F58">IFERROR(IF(OR($A58="", F$5=""), "", IF(SUM(IF(INDEX(_xlfn._xlws.FILTER(#REF!, tblPiNAnalysis[CCCM]=F$5), 0, MATCH(_xlfn.CONCAT($Q$2, "%"), #REF!, 0))=$A58, 1, 0))=0, "",SUM(IF(INDEX(_xlfn._xlws.FILTER(#REF!, tblPiNAnalysis[CCCM]=F$5), 0, MATCH(_xlfn.CONCAT($Q$2, "%"), #REF!, 0))=$A58, 1, 0)))), "")</f>
        <v/>
      </c>
      <c r="H58" s="37"/>
      <c r="I58" s="35" t="str" cm="1">
        <f t="array" ref="I58">IF($H58="", "", IF($H58=2, SUM(IF(INDEX(_xlfn._xlws.FILTER(#REF!,#REF!= I$5), 0, MATCH($Q$2,#REF!, 0))&gt;1.9, 1, 0)), IF(SUM(IF(INDEX(_xlfn._xlws.FILTER(#REF!,#REF!= I$5), 0, MATCH($Q$2,#REF!, 0))=$H58, 1, 0))=0, "", SUM(IF(INDEX(_xlfn._xlws.FILTER(#REF!,#REF!= I$5), 0, MATCH($Q$2,#REF!, 0))=$H58, 1, 0)))))</f>
        <v/>
      </c>
      <c r="J58" s="35" t="str" cm="1">
        <f t="array" ref="J58">IFERROR(IF(OR($H58="", J57=""), "", IF($H58=2, SUM(IF(INDEX(_xlfn._xlws.FILTER(#REF!,#REF!= J$5), 0, MATCH($Q$2,#REF!, 0))&gt;1.9, 1, 0)), IF(SUM(IF(INDEX(_xlfn._xlws.FILTER(#REF!,#REF!= J$5), 0, MATCH($Q$2,#REF!, 0))=$H58, 1, 0))=0, "", SUM(IF(INDEX(_xlfn._xlws.FILTER(#REF!,#REF!= J$5), 0, MATCH($Q$2,#REF!, 0))=$H58, 1, 0))))), "")</f>
        <v/>
      </c>
      <c r="K58" s="35" t="str" cm="1">
        <f t="array" ref="K58">IFERROR(IF(OR($H58="", K57=""), "", IF($H58=2, SUM(IF(INDEX(_xlfn._xlws.FILTER(#REF!,#REF!= K$5), 0, MATCH($Q$2,#REF!, 0))&gt;1.9, 1, 0)), IF(SUM(IF(INDEX(_xlfn._xlws.FILTER(#REF!,#REF!= K$5), 0, MATCH($Q$2,#REF!, 0))=$H58, 1, 0))=0, "", SUM(IF(INDEX(_xlfn._xlws.FILTER(#REF!,#REF!= K$5), 0, MATCH($Q$2,#REF!, 0))=$H58, 1, 0))))), "")</f>
        <v/>
      </c>
      <c r="L58" s="35" t="str" cm="1">
        <f t="array" ref="L58">IFERROR(IF(OR($H58="", L57=""), "", IF($H58=2, SUM(IF(INDEX(_xlfn._xlws.FILTER(#REF!,#REF!= L$5), 0, MATCH($Q$2,#REF!, 0))&gt;1.9, 1, 0)), IF(SUM(IF(INDEX(_xlfn._xlws.FILTER(#REF!,#REF!= L$5), 0, MATCH($Q$2,#REF!, 0))=$H58, 1, 0))=0, "", SUM(IF(INDEX(_xlfn._xlws.FILTER(#REF!,#REF!= L$5), 0, MATCH($Q$2,#REF!, 0))=$H58, 1, 0))))), "")</f>
        <v/>
      </c>
      <c r="M58" s="35" t="str" cm="1">
        <f t="array" ref="M58">IFERROR(IF(OR($H58="", M57=""), "", IF($H58=2, SUM(IF(INDEX(_xlfn._xlws.FILTER(#REF!,#REF!= M$5), 0, MATCH($Q$2,#REF!, 0))&gt;1.9, 1, 0)), IF(SUM(IF(INDEX(_xlfn._xlws.FILTER(#REF!,#REF!= M$5), 0, MATCH($Q$2,#REF!, 0))=$H58, 1, 0))=0, "", SUM(IF(INDEX(_xlfn._xlws.FILTER(#REF!,#REF!= M$5), 0, MATCH($Q$2,#REF!, 0))=$H58, 1, 0))))), "")</f>
        <v/>
      </c>
    </row>
    <row r="59" spans="1:13" x14ac:dyDescent="0.55000000000000004">
      <c r="A59" s="37"/>
      <c r="B59" s="35" t="str" cm="1">
        <f t="array" ref="B59">IF($A59="", "", IF(SUM(IF(INDEX(_xlfn._xlws.FILTER(#REF!, tblPiNAnalysis[Population Group]=B$5), 0, MATCH(_xlfn.CONCAT($Q$2, "%"), #REF!, 0))=$A59, 1, 0))=0, "",SUM(IF(INDEX(_xlfn._xlws.FILTER(#REF!, tblPiNAnalysis[Population Group]=B$5), 0, MATCH(_xlfn.CONCAT($Q$2, "%"), #REF!, 0))=$A59, 1, 0))))</f>
        <v/>
      </c>
      <c r="C59" s="35" t="str" cm="1">
        <f t="array" ref="C59">IFERROR(IF(OR($A59="", C$5=""), "", IF(SUM(IF(INDEX(_xlfn._xlws.FILTER(#REF!, tblPiNAnalysis[Population Group]=C$5), 0, MATCH(_xlfn.CONCAT($Q$2, "%"), #REF!, 0))=$A59, 1, 0))=0, "",SUM(IF(INDEX(_xlfn._xlws.FILTER(#REF!, tblPiNAnalysis[Population Group]=C$5), 0, MATCH(_xlfn.CONCAT($Q$2, "%"), #REF!, 0))=$A59, 1, 0)))), "")</f>
        <v/>
      </c>
      <c r="D59" s="35" t="str" cm="1">
        <f t="array" ref="D59">IFERROR(IF(OR($A59="", D$5=""), "", IF(SUM(IF(INDEX(_xlfn._xlws.FILTER(#REF!, tblPiNAnalysis[Population Group]=D$5), 0, MATCH(_xlfn.CONCAT($Q$2, "%"), #REF!, 0))=$A59, 1, 0))=0, "",SUM(IF(INDEX(_xlfn._xlws.FILTER(#REF!, tblPiNAnalysis[Population Group]=D$5), 0, MATCH(_xlfn.CONCAT($Q$2, "%"), #REF!, 0))=$A59, 1, 0)))), "")</f>
        <v/>
      </c>
      <c r="E59" s="35" t="str" cm="1">
        <f t="array" ref="E59">IFERROR(IF(OR($A59="", E$5=""), "", IF(SUM(IF(INDEX(_xlfn._xlws.FILTER(#REF!, tblPiNAnalysis[Population Group]=E$5), 0, MATCH(_xlfn.CONCAT($Q$2, "%"), #REF!, 0))=$A59, 1, 0))=0, "",SUM(IF(INDEX(_xlfn._xlws.FILTER(#REF!, tblPiNAnalysis[Population Group]=E$5), 0, MATCH(_xlfn.CONCAT($Q$2, "%"), #REF!, 0))=$A59, 1, 0)))), "")</f>
        <v/>
      </c>
      <c r="F59" s="35" t="str" cm="1">
        <f t="array" ref="F59">IFERROR(IF(OR($A59="", F$5=""), "", IF(SUM(IF(INDEX(_xlfn._xlws.FILTER(#REF!, tblPiNAnalysis[CCCM]=F$5), 0, MATCH(_xlfn.CONCAT($Q$2, "%"), #REF!, 0))=$A59, 1, 0))=0, "",SUM(IF(INDEX(_xlfn._xlws.FILTER(#REF!, tblPiNAnalysis[CCCM]=F$5), 0, MATCH(_xlfn.CONCAT($Q$2, "%"), #REF!, 0))=$A59, 1, 0)))), "")</f>
        <v/>
      </c>
      <c r="H59" s="37"/>
      <c r="I59" s="35" t="str" cm="1">
        <f t="array" ref="I59">IF($H59="", "", IF($H59=2, SUM(IF(INDEX(_xlfn._xlws.FILTER(#REF!,#REF!= I$5), 0, MATCH($Q$2,#REF!, 0))&gt;1.9, 1, 0)), IF(SUM(IF(INDEX(_xlfn._xlws.FILTER(#REF!,#REF!= I$5), 0, MATCH($Q$2,#REF!, 0))=$H59, 1, 0))=0, "", SUM(IF(INDEX(_xlfn._xlws.FILTER(#REF!,#REF!= I$5), 0, MATCH($Q$2,#REF!, 0))=$H59, 1, 0)))))</f>
        <v/>
      </c>
      <c r="J59" s="35" t="str" cm="1">
        <f t="array" ref="J59">IFERROR(IF(OR($H59="", J58=""), "", IF($H59=2, SUM(IF(INDEX(_xlfn._xlws.FILTER(#REF!,#REF!= J$5), 0, MATCH($Q$2,#REF!, 0))&gt;1.9, 1, 0)), IF(SUM(IF(INDEX(_xlfn._xlws.FILTER(#REF!,#REF!= J$5), 0, MATCH($Q$2,#REF!, 0))=$H59, 1, 0))=0, "", SUM(IF(INDEX(_xlfn._xlws.FILTER(#REF!,#REF!= J$5), 0, MATCH($Q$2,#REF!, 0))=$H59, 1, 0))))), "")</f>
        <v/>
      </c>
      <c r="K59" s="35" t="str" cm="1">
        <f t="array" ref="K59">IFERROR(IF(OR($H59="", K58=""), "", IF($H59=2, SUM(IF(INDEX(_xlfn._xlws.FILTER(#REF!,#REF!= K$5), 0, MATCH($Q$2,#REF!, 0))&gt;1.9, 1, 0)), IF(SUM(IF(INDEX(_xlfn._xlws.FILTER(#REF!,#REF!= K$5), 0, MATCH($Q$2,#REF!, 0))=$H59, 1, 0))=0, "", SUM(IF(INDEX(_xlfn._xlws.FILTER(#REF!,#REF!= K$5), 0, MATCH($Q$2,#REF!, 0))=$H59, 1, 0))))), "")</f>
        <v/>
      </c>
      <c r="L59" s="35" t="str" cm="1">
        <f t="array" ref="L59">IFERROR(IF(OR($H59="", L58=""), "", IF($H59=2, SUM(IF(INDEX(_xlfn._xlws.FILTER(#REF!,#REF!= L$5), 0, MATCH($Q$2,#REF!, 0))&gt;1.9, 1, 0)), IF(SUM(IF(INDEX(_xlfn._xlws.FILTER(#REF!,#REF!= L$5), 0, MATCH($Q$2,#REF!, 0))=$H59, 1, 0))=0, "", SUM(IF(INDEX(_xlfn._xlws.FILTER(#REF!,#REF!= L$5), 0, MATCH($Q$2,#REF!, 0))=$H59, 1, 0))))), "")</f>
        <v/>
      </c>
      <c r="M59" s="35" t="str" cm="1">
        <f t="array" ref="M59">IFERROR(IF(OR($H59="", M58=""), "", IF($H59=2, SUM(IF(INDEX(_xlfn._xlws.FILTER(#REF!,#REF!= M$5), 0, MATCH($Q$2,#REF!, 0))&gt;1.9, 1, 0)), IF(SUM(IF(INDEX(_xlfn._xlws.FILTER(#REF!,#REF!= M$5), 0, MATCH($Q$2,#REF!, 0))=$H59, 1, 0))=0, "", SUM(IF(INDEX(_xlfn._xlws.FILTER(#REF!,#REF!= M$5), 0, MATCH($Q$2,#REF!, 0))=$H59, 1, 0))))), "")</f>
        <v/>
      </c>
    </row>
    <row r="60" spans="1:13" x14ac:dyDescent="0.55000000000000004">
      <c r="A60" s="37"/>
      <c r="B60" s="35" t="str" cm="1">
        <f t="array" ref="B60">IF($A60="", "", IF(SUM(IF(INDEX(_xlfn._xlws.FILTER(#REF!, tblPiNAnalysis[Population Group]=B$5), 0, MATCH(_xlfn.CONCAT($Q$2, "%"), #REF!, 0))=$A60, 1, 0))=0, "",SUM(IF(INDEX(_xlfn._xlws.FILTER(#REF!, tblPiNAnalysis[Population Group]=B$5), 0, MATCH(_xlfn.CONCAT($Q$2, "%"), #REF!, 0))=$A60, 1, 0))))</f>
        <v/>
      </c>
      <c r="C60" s="35" t="str" cm="1">
        <f t="array" ref="C60">IFERROR(IF(OR($A60="", C$5=""), "", IF(SUM(IF(INDEX(_xlfn._xlws.FILTER(#REF!, tblPiNAnalysis[Population Group]=C$5), 0, MATCH(_xlfn.CONCAT($Q$2, "%"), #REF!, 0))=$A60, 1, 0))=0, "",SUM(IF(INDEX(_xlfn._xlws.FILTER(#REF!, tblPiNAnalysis[Population Group]=C$5), 0, MATCH(_xlfn.CONCAT($Q$2, "%"), #REF!, 0))=$A60, 1, 0)))), "")</f>
        <v/>
      </c>
      <c r="D60" s="35" t="str" cm="1">
        <f t="array" ref="D60">IFERROR(IF(OR($A60="", D$5=""), "", IF(SUM(IF(INDEX(_xlfn._xlws.FILTER(#REF!, tblPiNAnalysis[Population Group]=D$5), 0, MATCH(_xlfn.CONCAT($Q$2, "%"), #REF!, 0))=$A60, 1, 0))=0, "",SUM(IF(INDEX(_xlfn._xlws.FILTER(#REF!, tblPiNAnalysis[Population Group]=D$5), 0, MATCH(_xlfn.CONCAT($Q$2, "%"), #REF!, 0))=$A60, 1, 0)))), "")</f>
        <v/>
      </c>
      <c r="E60" s="35" t="str" cm="1">
        <f t="array" ref="E60">IFERROR(IF(OR($A60="", E$5=""), "", IF(SUM(IF(INDEX(_xlfn._xlws.FILTER(#REF!, tblPiNAnalysis[Population Group]=E$5), 0, MATCH(_xlfn.CONCAT($Q$2, "%"), #REF!, 0))=$A60, 1, 0))=0, "",SUM(IF(INDEX(_xlfn._xlws.FILTER(#REF!, tblPiNAnalysis[Population Group]=E$5), 0, MATCH(_xlfn.CONCAT($Q$2, "%"), #REF!, 0))=$A60, 1, 0)))), "")</f>
        <v/>
      </c>
      <c r="F60" s="35" t="str" cm="1">
        <f t="array" ref="F60">IFERROR(IF(OR($A60="", F$5=""), "", IF(SUM(IF(INDEX(_xlfn._xlws.FILTER(#REF!, tblPiNAnalysis[CCCM]=F$5), 0, MATCH(_xlfn.CONCAT($Q$2, "%"), #REF!, 0))=$A60, 1, 0))=0, "",SUM(IF(INDEX(_xlfn._xlws.FILTER(#REF!, tblPiNAnalysis[CCCM]=F$5), 0, MATCH(_xlfn.CONCAT($Q$2, "%"), #REF!, 0))=$A60, 1, 0)))), "")</f>
        <v/>
      </c>
      <c r="H60" s="37"/>
      <c r="I60" s="35" t="str" cm="1">
        <f t="array" ref="I60">IF($H60="", "", IF($H60=2, SUM(IF(INDEX(_xlfn._xlws.FILTER(#REF!,#REF!= I$5), 0, MATCH($Q$2,#REF!, 0))&gt;1.9, 1, 0)), IF(SUM(IF(INDEX(_xlfn._xlws.FILTER(#REF!,#REF!= I$5), 0, MATCH($Q$2,#REF!, 0))=$H60, 1, 0))=0, "", SUM(IF(INDEX(_xlfn._xlws.FILTER(#REF!,#REF!= I$5), 0, MATCH($Q$2,#REF!, 0))=$H60, 1, 0)))))</f>
        <v/>
      </c>
      <c r="J60" s="35" t="str" cm="1">
        <f t="array" ref="J60">IFERROR(IF(OR($H60="", J59=""), "", IF($H60=2, SUM(IF(INDEX(_xlfn._xlws.FILTER(#REF!,#REF!= J$5), 0, MATCH($Q$2,#REF!, 0))&gt;1.9, 1, 0)), IF(SUM(IF(INDEX(_xlfn._xlws.FILTER(#REF!,#REF!= J$5), 0, MATCH($Q$2,#REF!, 0))=$H60, 1, 0))=0, "", SUM(IF(INDEX(_xlfn._xlws.FILTER(#REF!,#REF!= J$5), 0, MATCH($Q$2,#REF!, 0))=$H60, 1, 0))))), "")</f>
        <v/>
      </c>
      <c r="K60" s="35" t="str" cm="1">
        <f t="array" ref="K60">IFERROR(IF(OR($H60="", K59=""), "", IF($H60=2, SUM(IF(INDEX(_xlfn._xlws.FILTER(#REF!,#REF!= K$5), 0, MATCH($Q$2,#REF!, 0))&gt;1.9, 1, 0)), IF(SUM(IF(INDEX(_xlfn._xlws.FILTER(#REF!,#REF!= K$5), 0, MATCH($Q$2,#REF!, 0))=$H60, 1, 0))=0, "", SUM(IF(INDEX(_xlfn._xlws.FILTER(#REF!,#REF!= K$5), 0, MATCH($Q$2,#REF!, 0))=$H60, 1, 0))))), "")</f>
        <v/>
      </c>
      <c r="L60" s="35" t="str" cm="1">
        <f t="array" ref="L60">IFERROR(IF(OR($H60="", L59=""), "", IF($H60=2, SUM(IF(INDEX(_xlfn._xlws.FILTER(#REF!,#REF!= L$5), 0, MATCH($Q$2,#REF!, 0))&gt;1.9, 1, 0)), IF(SUM(IF(INDEX(_xlfn._xlws.FILTER(#REF!,#REF!= L$5), 0, MATCH($Q$2,#REF!, 0))=$H60, 1, 0))=0, "", SUM(IF(INDEX(_xlfn._xlws.FILTER(#REF!,#REF!= L$5), 0, MATCH($Q$2,#REF!, 0))=$H60, 1, 0))))), "")</f>
        <v/>
      </c>
      <c r="M60" s="35" t="str" cm="1">
        <f t="array" ref="M60">IFERROR(IF(OR($H60="", M59=""), "", IF($H60=2, SUM(IF(INDEX(_xlfn._xlws.FILTER(#REF!,#REF!= M$5), 0, MATCH($Q$2,#REF!, 0))&gt;1.9, 1, 0)), IF(SUM(IF(INDEX(_xlfn._xlws.FILTER(#REF!,#REF!= M$5), 0, MATCH($Q$2,#REF!, 0))=$H60, 1, 0))=0, "", SUM(IF(INDEX(_xlfn._xlws.FILTER(#REF!,#REF!= M$5), 0, MATCH($Q$2,#REF!, 0))=$H60, 1, 0))))), "")</f>
        <v/>
      </c>
    </row>
    <row r="61" spans="1:13" x14ac:dyDescent="0.55000000000000004">
      <c r="A61" s="37"/>
      <c r="B61" s="35" t="str" cm="1">
        <f t="array" ref="B61">IF($A61="", "", IF(SUM(IF(INDEX(_xlfn._xlws.FILTER(#REF!, tblPiNAnalysis[Population Group]=B$5), 0, MATCH(_xlfn.CONCAT($Q$2, "%"), #REF!, 0))=$A61, 1, 0))=0, "",SUM(IF(INDEX(_xlfn._xlws.FILTER(#REF!, tblPiNAnalysis[Population Group]=B$5), 0, MATCH(_xlfn.CONCAT($Q$2, "%"), #REF!, 0))=$A61, 1, 0))))</f>
        <v/>
      </c>
      <c r="C61" s="35" t="str" cm="1">
        <f t="array" ref="C61">IFERROR(IF(OR($A61="", C$5=""), "", IF(SUM(IF(INDEX(_xlfn._xlws.FILTER(#REF!, tblPiNAnalysis[Population Group]=C$5), 0, MATCH(_xlfn.CONCAT($Q$2, "%"), #REF!, 0))=$A61, 1, 0))=0, "",SUM(IF(INDEX(_xlfn._xlws.FILTER(#REF!, tblPiNAnalysis[Population Group]=C$5), 0, MATCH(_xlfn.CONCAT($Q$2, "%"), #REF!, 0))=$A61, 1, 0)))), "")</f>
        <v/>
      </c>
      <c r="D61" s="35" t="str" cm="1">
        <f t="array" ref="D61">IFERROR(IF(OR($A61="", D$5=""), "", IF(SUM(IF(INDEX(_xlfn._xlws.FILTER(#REF!, tblPiNAnalysis[Population Group]=D$5), 0, MATCH(_xlfn.CONCAT($Q$2, "%"), #REF!, 0))=$A61, 1, 0))=0, "",SUM(IF(INDEX(_xlfn._xlws.FILTER(#REF!, tblPiNAnalysis[Population Group]=D$5), 0, MATCH(_xlfn.CONCAT($Q$2, "%"), #REF!, 0))=$A61, 1, 0)))), "")</f>
        <v/>
      </c>
      <c r="E61" s="35" t="str" cm="1">
        <f t="array" ref="E61">IFERROR(IF(OR($A61="", E$5=""), "", IF(SUM(IF(INDEX(_xlfn._xlws.FILTER(#REF!, tblPiNAnalysis[Population Group]=E$5), 0, MATCH(_xlfn.CONCAT($Q$2, "%"), #REF!, 0))=$A61, 1, 0))=0, "",SUM(IF(INDEX(_xlfn._xlws.FILTER(#REF!, tblPiNAnalysis[Population Group]=E$5), 0, MATCH(_xlfn.CONCAT($Q$2, "%"), #REF!, 0))=$A61, 1, 0)))), "")</f>
        <v/>
      </c>
      <c r="F61" s="35" t="str" cm="1">
        <f t="array" ref="F61">IFERROR(IF(OR($A61="", F$5=""), "", IF(SUM(IF(INDEX(_xlfn._xlws.FILTER(#REF!, tblPiNAnalysis[CCCM]=F$5), 0, MATCH(_xlfn.CONCAT($Q$2, "%"), #REF!, 0))=$A61, 1, 0))=0, "",SUM(IF(INDEX(_xlfn._xlws.FILTER(#REF!, tblPiNAnalysis[CCCM]=F$5), 0, MATCH(_xlfn.CONCAT($Q$2, "%"), #REF!, 0))=$A61, 1, 0)))), "")</f>
        <v/>
      </c>
      <c r="H61" s="37"/>
      <c r="I61" s="35" t="str" cm="1">
        <f t="array" ref="I61">IF($H61="", "", IF($H61=2, SUM(IF(INDEX(_xlfn._xlws.FILTER(#REF!,#REF!= I$5), 0, MATCH($Q$2,#REF!, 0))&gt;1.9, 1, 0)), IF(SUM(IF(INDEX(_xlfn._xlws.FILTER(#REF!,#REF!= I$5), 0, MATCH($Q$2,#REF!, 0))=$H61, 1, 0))=0, "", SUM(IF(INDEX(_xlfn._xlws.FILTER(#REF!,#REF!= I$5), 0, MATCH($Q$2,#REF!, 0))=$H61, 1, 0)))))</f>
        <v/>
      </c>
      <c r="J61" s="35" t="str" cm="1">
        <f t="array" ref="J61">IFERROR(IF(OR($H61="", J60=""), "", IF($H61=2, SUM(IF(INDEX(_xlfn._xlws.FILTER(#REF!,#REF!= J$5), 0, MATCH($Q$2,#REF!, 0))&gt;1.9, 1, 0)), IF(SUM(IF(INDEX(_xlfn._xlws.FILTER(#REF!,#REF!= J$5), 0, MATCH($Q$2,#REF!, 0))=$H61, 1, 0))=0, "", SUM(IF(INDEX(_xlfn._xlws.FILTER(#REF!,#REF!= J$5), 0, MATCH($Q$2,#REF!, 0))=$H61, 1, 0))))), "")</f>
        <v/>
      </c>
      <c r="K61" s="35" t="str" cm="1">
        <f t="array" ref="K61">IFERROR(IF(OR($H61="", K60=""), "", IF($H61=2, SUM(IF(INDEX(_xlfn._xlws.FILTER(#REF!,#REF!= K$5), 0, MATCH($Q$2,#REF!, 0))&gt;1.9, 1, 0)), IF(SUM(IF(INDEX(_xlfn._xlws.FILTER(#REF!,#REF!= K$5), 0, MATCH($Q$2,#REF!, 0))=$H61, 1, 0))=0, "", SUM(IF(INDEX(_xlfn._xlws.FILTER(#REF!,#REF!= K$5), 0, MATCH($Q$2,#REF!, 0))=$H61, 1, 0))))), "")</f>
        <v/>
      </c>
      <c r="L61" s="35" t="str" cm="1">
        <f t="array" ref="L61">IFERROR(IF(OR($H61="", L60=""), "", IF($H61=2, SUM(IF(INDEX(_xlfn._xlws.FILTER(#REF!,#REF!= L$5), 0, MATCH($Q$2,#REF!, 0))&gt;1.9, 1, 0)), IF(SUM(IF(INDEX(_xlfn._xlws.FILTER(#REF!,#REF!= L$5), 0, MATCH($Q$2,#REF!, 0))=$H61, 1, 0))=0, "", SUM(IF(INDEX(_xlfn._xlws.FILTER(#REF!,#REF!= L$5), 0, MATCH($Q$2,#REF!, 0))=$H61, 1, 0))))), "")</f>
        <v/>
      </c>
      <c r="M61" s="35" t="str" cm="1">
        <f t="array" ref="M61">IFERROR(IF(OR($H61="", M60=""), "", IF($H61=2, SUM(IF(INDEX(_xlfn._xlws.FILTER(#REF!,#REF!= M$5), 0, MATCH($Q$2,#REF!, 0))&gt;1.9, 1, 0)), IF(SUM(IF(INDEX(_xlfn._xlws.FILTER(#REF!,#REF!= M$5), 0, MATCH($Q$2,#REF!, 0))=$H61, 1, 0))=0, "", SUM(IF(INDEX(_xlfn._xlws.FILTER(#REF!,#REF!= M$5), 0, MATCH($Q$2,#REF!, 0))=$H61, 1, 0))))), "")</f>
        <v/>
      </c>
    </row>
    <row r="62" spans="1:13" x14ac:dyDescent="0.55000000000000004">
      <c r="A62" s="37"/>
      <c r="B62" s="35" t="str" cm="1">
        <f t="array" ref="B62">IF($A62="", "", IF(SUM(IF(INDEX(_xlfn._xlws.FILTER(#REF!, tblPiNAnalysis[Population Group]=B$5), 0, MATCH(_xlfn.CONCAT($Q$2, "%"), #REF!, 0))=$A62, 1, 0))=0, "",SUM(IF(INDEX(_xlfn._xlws.FILTER(#REF!, tblPiNAnalysis[Population Group]=B$5), 0, MATCH(_xlfn.CONCAT($Q$2, "%"), #REF!, 0))=$A62, 1, 0))))</f>
        <v/>
      </c>
      <c r="C62" s="35" t="str" cm="1">
        <f t="array" ref="C62">IFERROR(IF(OR($A62="", C$5=""), "", IF(SUM(IF(INDEX(_xlfn._xlws.FILTER(#REF!, tblPiNAnalysis[Population Group]=C$5), 0, MATCH(_xlfn.CONCAT($Q$2, "%"), #REF!, 0))=$A62, 1, 0))=0, "",SUM(IF(INDEX(_xlfn._xlws.FILTER(#REF!, tblPiNAnalysis[Population Group]=C$5), 0, MATCH(_xlfn.CONCAT($Q$2, "%"), #REF!, 0))=$A62, 1, 0)))), "")</f>
        <v/>
      </c>
      <c r="D62" s="35" t="str" cm="1">
        <f t="array" ref="D62">IFERROR(IF(OR($A62="", D$5=""), "", IF(SUM(IF(INDEX(_xlfn._xlws.FILTER(#REF!, tblPiNAnalysis[Population Group]=D$5), 0, MATCH(_xlfn.CONCAT($Q$2, "%"), #REF!, 0))=$A62, 1, 0))=0, "",SUM(IF(INDEX(_xlfn._xlws.FILTER(#REF!, tblPiNAnalysis[Population Group]=D$5), 0, MATCH(_xlfn.CONCAT($Q$2, "%"), #REF!, 0))=$A62, 1, 0)))), "")</f>
        <v/>
      </c>
      <c r="E62" s="35" t="str" cm="1">
        <f t="array" ref="E62">IFERROR(IF(OR($A62="", E$5=""), "", IF(SUM(IF(INDEX(_xlfn._xlws.FILTER(#REF!, tblPiNAnalysis[Population Group]=E$5), 0, MATCH(_xlfn.CONCAT($Q$2, "%"), #REF!, 0))=$A62, 1, 0))=0, "",SUM(IF(INDEX(_xlfn._xlws.FILTER(#REF!, tblPiNAnalysis[Population Group]=E$5), 0, MATCH(_xlfn.CONCAT($Q$2, "%"), #REF!, 0))=$A62, 1, 0)))), "")</f>
        <v/>
      </c>
      <c r="F62" s="35" t="str" cm="1">
        <f t="array" ref="F62">IFERROR(IF(OR($A62="", F$5=""), "", IF(SUM(IF(INDEX(_xlfn._xlws.FILTER(#REF!, tblPiNAnalysis[CCCM]=F$5), 0, MATCH(_xlfn.CONCAT($Q$2, "%"), #REF!, 0))=$A62, 1, 0))=0, "",SUM(IF(INDEX(_xlfn._xlws.FILTER(#REF!, tblPiNAnalysis[CCCM]=F$5), 0, MATCH(_xlfn.CONCAT($Q$2, "%"), #REF!, 0))=$A62, 1, 0)))), "")</f>
        <v/>
      </c>
      <c r="H62" s="37"/>
      <c r="I62" s="35" t="str" cm="1">
        <f t="array" ref="I62">IF($H62="", "", IF($H62=2, SUM(IF(INDEX(_xlfn._xlws.FILTER(#REF!,#REF!= I$5), 0, MATCH($Q$2,#REF!, 0))&gt;1.9, 1, 0)), IF(SUM(IF(INDEX(_xlfn._xlws.FILTER(#REF!,#REF!= I$5), 0, MATCH($Q$2,#REF!, 0))=$H62, 1, 0))=0, "", SUM(IF(INDEX(_xlfn._xlws.FILTER(#REF!,#REF!= I$5), 0, MATCH($Q$2,#REF!, 0))=$H62, 1, 0)))))</f>
        <v/>
      </c>
      <c r="J62" s="35" t="str" cm="1">
        <f t="array" ref="J62">IFERROR(IF(OR($H62="", J61=""), "", IF($H62=2, SUM(IF(INDEX(_xlfn._xlws.FILTER(#REF!,#REF!= J$5), 0, MATCH($Q$2,#REF!, 0))&gt;1.9, 1, 0)), IF(SUM(IF(INDEX(_xlfn._xlws.FILTER(#REF!,#REF!= J$5), 0, MATCH($Q$2,#REF!, 0))=$H62, 1, 0))=0, "", SUM(IF(INDEX(_xlfn._xlws.FILTER(#REF!,#REF!= J$5), 0, MATCH($Q$2,#REF!, 0))=$H62, 1, 0))))), "")</f>
        <v/>
      </c>
      <c r="K62" s="35" t="str" cm="1">
        <f t="array" ref="K62">IFERROR(IF(OR($H62="", K61=""), "", IF($H62=2, SUM(IF(INDEX(_xlfn._xlws.FILTER(#REF!,#REF!= K$5), 0, MATCH($Q$2,#REF!, 0))&gt;1.9, 1, 0)), IF(SUM(IF(INDEX(_xlfn._xlws.FILTER(#REF!,#REF!= K$5), 0, MATCH($Q$2,#REF!, 0))=$H62, 1, 0))=0, "", SUM(IF(INDEX(_xlfn._xlws.FILTER(#REF!,#REF!= K$5), 0, MATCH($Q$2,#REF!, 0))=$H62, 1, 0))))), "")</f>
        <v/>
      </c>
      <c r="L62" s="35" t="str" cm="1">
        <f t="array" ref="L62">IFERROR(IF(OR($H62="", L61=""), "", IF($H62=2, SUM(IF(INDEX(_xlfn._xlws.FILTER(#REF!,#REF!= L$5), 0, MATCH($Q$2,#REF!, 0))&gt;1.9, 1, 0)), IF(SUM(IF(INDEX(_xlfn._xlws.FILTER(#REF!,#REF!= L$5), 0, MATCH($Q$2,#REF!, 0))=$H62, 1, 0))=0, "", SUM(IF(INDEX(_xlfn._xlws.FILTER(#REF!,#REF!= L$5), 0, MATCH($Q$2,#REF!, 0))=$H62, 1, 0))))), "")</f>
        <v/>
      </c>
      <c r="M62" s="35" t="str" cm="1">
        <f t="array" ref="M62">IFERROR(IF(OR($H62="", M61=""), "", IF($H62=2, SUM(IF(INDEX(_xlfn._xlws.FILTER(#REF!,#REF!= M$5), 0, MATCH($Q$2,#REF!, 0))&gt;1.9, 1, 0)), IF(SUM(IF(INDEX(_xlfn._xlws.FILTER(#REF!,#REF!= M$5), 0, MATCH($Q$2,#REF!, 0))=$H62, 1, 0))=0, "", SUM(IF(INDEX(_xlfn._xlws.FILTER(#REF!,#REF!= M$5), 0, MATCH($Q$2,#REF!, 0))=$H62, 1, 0))))), "")</f>
        <v/>
      </c>
    </row>
    <row r="63" spans="1:13" x14ac:dyDescent="0.55000000000000004">
      <c r="A63" s="37"/>
      <c r="B63" s="35" t="str" cm="1">
        <f t="array" ref="B63">IF($A63="", "", IF(SUM(IF(INDEX(_xlfn._xlws.FILTER(#REF!, tblPiNAnalysis[Population Group]=B$5), 0, MATCH(_xlfn.CONCAT($Q$2, "%"), #REF!, 0))=$A63, 1, 0))=0, "",SUM(IF(INDEX(_xlfn._xlws.FILTER(#REF!, tblPiNAnalysis[Population Group]=B$5), 0, MATCH(_xlfn.CONCAT($Q$2, "%"), #REF!, 0))=$A63, 1, 0))))</f>
        <v/>
      </c>
      <c r="C63" s="35" t="str" cm="1">
        <f t="array" ref="C63">IFERROR(IF(OR($A63="", C$5=""), "", IF(SUM(IF(INDEX(_xlfn._xlws.FILTER(#REF!, tblPiNAnalysis[Population Group]=C$5), 0, MATCH(_xlfn.CONCAT($Q$2, "%"), #REF!, 0))=$A63, 1, 0))=0, "",SUM(IF(INDEX(_xlfn._xlws.FILTER(#REF!, tblPiNAnalysis[Population Group]=C$5), 0, MATCH(_xlfn.CONCAT($Q$2, "%"), #REF!, 0))=$A63, 1, 0)))), "")</f>
        <v/>
      </c>
      <c r="D63" s="35" t="str" cm="1">
        <f t="array" ref="D63">IFERROR(IF(OR($A63="", D$5=""), "", IF(SUM(IF(INDEX(_xlfn._xlws.FILTER(#REF!, tblPiNAnalysis[Population Group]=D$5), 0, MATCH(_xlfn.CONCAT($Q$2, "%"), #REF!, 0))=$A63, 1, 0))=0, "",SUM(IF(INDEX(_xlfn._xlws.FILTER(#REF!, tblPiNAnalysis[Population Group]=D$5), 0, MATCH(_xlfn.CONCAT($Q$2, "%"), #REF!, 0))=$A63, 1, 0)))), "")</f>
        <v/>
      </c>
      <c r="E63" s="35" t="str" cm="1">
        <f t="array" ref="E63">IFERROR(IF(OR($A63="", E$5=""), "", IF(SUM(IF(INDEX(_xlfn._xlws.FILTER(#REF!, tblPiNAnalysis[Population Group]=E$5), 0, MATCH(_xlfn.CONCAT($Q$2, "%"), #REF!, 0))=$A63, 1, 0))=0, "",SUM(IF(INDEX(_xlfn._xlws.FILTER(#REF!, tblPiNAnalysis[Population Group]=E$5), 0, MATCH(_xlfn.CONCAT($Q$2, "%"), #REF!, 0))=$A63, 1, 0)))), "")</f>
        <v/>
      </c>
      <c r="F63" s="35" t="str" cm="1">
        <f t="array" ref="F63">IFERROR(IF(OR($A63="", F$5=""), "", IF(SUM(IF(INDEX(_xlfn._xlws.FILTER(#REF!, tblPiNAnalysis[CCCM]=F$5), 0, MATCH(_xlfn.CONCAT($Q$2, "%"), #REF!, 0))=$A63, 1, 0))=0, "",SUM(IF(INDEX(_xlfn._xlws.FILTER(#REF!, tblPiNAnalysis[CCCM]=F$5), 0, MATCH(_xlfn.CONCAT($Q$2, "%"), #REF!, 0))=$A63, 1, 0)))), "")</f>
        <v/>
      </c>
      <c r="H63" s="37"/>
      <c r="I63" s="35" t="str" cm="1">
        <f t="array" ref="I63">IF($H63="", "", IF($H63=2, SUM(IF(INDEX(_xlfn._xlws.FILTER(#REF!,#REF!= I$5), 0, MATCH($Q$2,#REF!, 0))&gt;1.9, 1, 0)), IF(SUM(IF(INDEX(_xlfn._xlws.FILTER(#REF!,#REF!= I$5), 0, MATCH($Q$2,#REF!, 0))=$H63, 1, 0))=0, "", SUM(IF(INDEX(_xlfn._xlws.FILTER(#REF!,#REF!= I$5), 0, MATCH($Q$2,#REF!, 0))=$H63, 1, 0)))))</f>
        <v/>
      </c>
      <c r="J63" s="35" t="str" cm="1">
        <f t="array" ref="J63">IFERROR(IF(OR($H63="", J62=""), "", IF($H63=2, SUM(IF(INDEX(_xlfn._xlws.FILTER(#REF!,#REF!= J$5), 0, MATCH($Q$2,#REF!, 0))&gt;1.9, 1, 0)), IF(SUM(IF(INDEX(_xlfn._xlws.FILTER(#REF!,#REF!= J$5), 0, MATCH($Q$2,#REF!, 0))=$H63, 1, 0))=0, "", SUM(IF(INDEX(_xlfn._xlws.FILTER(#REF!,#REF!= J$5), 0, MATCH($Q$2,#REF!, 0))=$H63, 1, 0))))), "")</f>
        <v/>
      </c>
      <c r="K63" s="35" t="str" cm="1">
        <f t="array" ref="K63">IFERROR(IF(OR($H63="", K62=""), "", IF($H63=2, SUM(IF(INDEX(_xlfn._xlws.FILTER(#REF!,#REF!= K$5), 0, MATCH($Q$2,#REF!, 0))&gt;1.9, 1, 0)), IF(SUM(IF(INDEX(_xlfn._xlws.FILTER(#REF!,#REF!= K$5), 0, MATCH($Q$2,#REF!, 0))=$H63, 1, 0))=0, "", SUM(IF(INDEX(_xlfn._xlws.FILTER(#REF!,#REF!= K$5), 0, MATCH($Q$2,#REF!, 0))=$H63, 1, 0))))), "")</f>
        <v/>
      </c>
      <c r="L63" s="35" t="str" cm="1">
        <f t="array" ref="L63">IFERROR(IF(OR($H63="", L62=""), "", IF($H63=2, SUM(IF(INDEX(_xlfn._xlws.FILTER(#REF!,#REF!= L$5), 0, MATCH($Q$2,#REF!, 0))&gt;1.9, 1, 0)), IF(SUM(IF(INDEX(_xlfn._xlws.FILTER(#REF!,#REF!= L$5), 0, MATCH($Q$2,#REF!, 0))=$H63, 1, 0))=0, "", SUM(IF(INDEX(_xlfn._xlws.FILTER(#REF!,#REF!= L$5), 0, MATCH($Q$2,#REF!, 0))=$H63, 1, 0))))), "")</f>
        <v/>
      </c>
      <c r="M63" s="35" t="str" cm="1">
        <f t="array" ref="M63">IFERROR(IF(OR($H63="", M62=""), "", IF($H63=2, SUM(IF(INDEX(_xlfn._xlws.FILTER(#REF!,#REF!= M$5), 0, MATCH($Q$2,#REF!, 0))&gt;1.9, 1, 0)), IF(SUM(IF(INDEX(_xlfn._xlws.FILTER(#REF!,#REF!= M$5), 0, MATCH($Q$2,#REF!, 0))=$H63, 1, 0))=0, "", SUM(IF(INDEX(_xlfn._xlws.FILTER(#REF!,#REF!= M$5), 0, MATCH($Q$2,#REF!, 0))=$H63, 1, 0))))), "")</f>
        <v/>
      </c>
    </row>
    <row r="64" spans="1:13" x14ac:dyDescent="0.55000000000000004">
      <c r="A64" s="37"/>
      <c r="B64" s="35" t="str" cm="1">
        <f t="array" ref="B64">IF($A64="", "", IF(SUM(IF(INDEX(_xlfn._xlws.FILTER(#REF!, tblPiNAnalysis[Population Group]=B$5), 0, MATCH(_xlfn.CONCAT($Q$2, "%"), #REF!, 0))=$A64, 1, 0))=0, "",SUM(IF(INDEX(_xlfn._xlws.FILTER(#REF!, tblPiNAnalysis[Population Group]=B$5), 0, MATCH(_xlfn.CONCAT($Q$2, "%"), #REF!, 0))=$A64, 1, 0))))</f>
        <v/>
      </c>
      <c r="C64" s="35" t="str" cm="1">
        <f t="array" ref="C64">IFERROR(IF(OR($A64="", C$5=""), "", IF(SUM(IF(INDEX(_xlfn._xlws.FILTER(#REF!, tblPiNAnalysis[Population Group]=C$5), 0, MATCH(_xlfn.CONCAT($Q$2, "%"), #REF!, 0))=$A64, 1, 0))=0, "",SUM(IF(INDEX(_xlfn._xlws.FILTER(#REF!, tblPiNAnalysis[Population Group]=C$5), 0, MATCH(_xlfn.CONCAT($Q$2, "%"), #REF!, 0))=$A64, 1, 0)))), "")</f>
        <v/>
      </c>
      <c r="D64" s="35" t="str" cm="1">
        <f t="array" ref="D64">IFERROR(IF(OR($A64="", D$5=""), "", IF(SUM(IF(INDEX(_xlfn._xlws.FILTER(#REF!, tblPiNAnalysis[Population Group]=D$5), 0, MATCH(_xlfn.CONCAT($Q$2, "%"), #REF!, 0))=$A64, 1, 0))=0, "",SUM(IF(INDEX(_xlfn._xlws.FILTER(#REF!, tblPiNAnalysis[Population Group]=D$5), 0, MATCH(_xlfn.CONCAT($Q$2, "%"), #REF!, 0))=$A64, 1, 0)))), "")</f>
        <v/>
      </c>
      <c r="E64" s="35" t="str" cm="1">
        <f t="array" ref="E64">IFERROR(IF(OR($A64="", E$5=""), "", IF(SUM(IF(INDEX(_xlfn._xlws.FILTER(#REF!, tblPiNAnalysis[Population Group]=E$5), 0, MATCH(_xlfn.CONCAT($Q$2, "%"), #REF!, 0))=$A64, 1, 0))=0, "",SUM(IF(INDEX(_xlfn._xlws.FILTER(#REF!, tblPiNAnalysis[Population Group]=E$5), 0, MATCH(_xlfn.CONCAT($Q$2, "%"), #REF!, 0))=$A64, 1, 0)))), "")</f>
        <v/>
      </c>
      <c r="F64" s="35" t="str" cm="1">
        <f t="array" ref="F64">IFERROR(IF(OR($A64="", F$5=""), "", IF(SUM(IF(INDEX(_xlfn._xlws.FILTER(#REF!, tblPiNAnalysis[CCCM]=F$5), 0, MATCH(_xlfn.CONCAT($Q$2, "%"), #REF!, 0))=$A64, 1, 0))=0, "",SUM(IF(INDEX(_xlfn._xlws.FILTER(#REF!, tblPiNAnalysis[CCCM]=F$5), 0, MATCH(_xlfn.CONCAT($Q$2, "%"), #REF!, 0))=$A64, 1, 0)))), "")</f>
        <v/>
      </c>
      <c r="H64" s="37"/>
      <c r="I64" s="35" t="str" cm="1">
        <f t="array" ref="I64">IF($H64="", "", IF($H64=2, SUM(IF(INDEX(_xlfn._xlws.FILTER(#REF!,#REF!= I$5), 0, MATCH($Q$2,#REF!, 0))&gt;1.9, 1, 0)), IF(SUM(IF(INDEX(_xlfn._xlws.FILTER(#REF!,#REF!= I$5), 0, MATCH($Q$2,#REF!, 0))=$H64, 1, 0))=0, "", SUM(IF(INDEX(_xlfn._xlws.FILTER(#REF!,#REF!= I$5), 0, MATCH($Q$2,#REF!, 0))=$H64, 1, 0)))))</f>
        <v/>
      </c>
      <c r="J64" s="35" t="str" cm="1">
        <f t="array" ref="J64">IFERROR(IF(OR($H64="", J63=""), "", IF($H64=2, SUM(IF(INDEX(_xlfn._xlws.FILTER(#REF!,#REF!= J$5), 0, MATCH($Q$2,#REF!, 0))&gt;1.9, 1, 0)), IF(SUM(IF(INDEX(_xlfn._xlws.FILTER(#REF!,#REF!= J$5), 0, MATCH($Q$2,#REF!, 0))=$H64, 1, 0))=0, "", SUM(IF(INDEX(_xlfn._xlws.FILTER(#REF!,#REF!= J$5), 0, MATCH($Q$2,#REF!, 0))=$H64, 1, 0))))), "")</f>
        <v/>
      </c>
      <c r="K64" s="35" t="str" cm="1">
        <f t="array" ref="K64">IFERROR(IF(OR($H64="", K63=""), "", IF($H64=2, SUM(IF(INDEX(_xlfn._xlws.FILTER(#REF!,#REF!= K$5), 0, MATCH($Q$2,#REF!, 0))&gt;1.9, 1, 0)), IF(SUM(IF(INDEX(_xlfn._xlws.FILTER(#REF!,#REF!= K$5), 0, MATCH($Q$2,#REF!, 0))=$H64, 1, 0))=0, "", SUM(IF(INDEX(_xlfn._xlws.FILTER(#REF!,#REF!= K$5), 0, MATCH($Q$2,#REF!, 0))=$H64, 1, 0))))), "")</f>
        <v/>
      </c>
      <c r="L64" s="35" t="str" cm="1">
        <f t="array" ref="L64">IFERROR(IF(OR($H64="", L63=""), "", IF($H64=2, SUM(IF(INDEX(_xlfn._xlws.FILTER(#REF!,#REF!= L$5), 0, MATCH($Q$2,#REF!, 0))&gt;1.9, 1, 0)), IF(SUM(IF(INDEX(_xlfn._xlws.FILTER(#REF!,#REF!= L$5), 0, MATCH($Q$2,#REF!, 0))=$H64, 1, 0))=0, "", SUM(IF(INDEX(_xlfn._xlws.FILTER(#REF!,#REF!= L$5), 0, MATCH($Q$2,#REF!, 0))=$H64, 1, 0))))), "")</f>
        <v/>
      </c>
      <c r="M64" s="35" t="str" cm="1">
        <f t="array" ref="M64">IFERROR(IF(OR($H64="", M63=""), "", IF($H64=2, SUM(IF(INDEX(_xlfn._xlws.FILTER(#REF!,#REF!= M$5), 0, MATCH($Q$2,#REF!, 0))&gt;1.9, 1, 0)), IF(SUM(IF(INDEX(_xlfn._xlws.FILTER(#REF!,#REF!= M$5), 0, MATCH($Q$2,#REF!, 0))=$H64, 1, 0))=0, "", SUM(IF(INDEX(_xlfn._xlws.FILTER(#REF!,#REF!= M$5), 0, MATCH($Q$2,#REF!, 0))=$H64, 1, 0))))), "")</f>
        <v/>
      </c>
    </row>
    <row r="65" spans="1:13" x14ac:dyDescent="0.55000000000000004">
      <c r="A65" s="37"/>
      <c r="B65" s="35" t="str" cm="1">
        <f t="array" ref="B65">IF($A65="", "", IF(SUM(IF(INDEX(_xlfn._xlws.FILTER(#REF!, tblPiNAnalysis[Population Group]=B$5), 0, MATCH(_xlfn.CONCAT($Q$2, "%"), #REF!, 0))=$A65, 1, 0))=0, "",SUM(IF(INDEX(_xlfn._xlws.FILTER(#REF!, tblPiNAnalysis[Population Group]=B$5), 0, MATCH(_xlfn.CONCAT($Q$2, "%"), #REF!, 0))=$A65, 1, 0))))</f>
        <v/>
      </c>
      <c r="C65" s="35" t="str" cm="1">
        <f t="array" ref="C65">IFERROR(IF(OR($A65="", C$5=""), "", IF(SUM(IF(INDEX(_xlfn._xlws.FILTER(#REF!, tblPiNAnalysis[Population Group]=C$5), 0, MATCH(_xlfn.CONCAT($Q$2, "%"), #REF!, 0))=$A65, 1, 0))=0, "",SUM(IF(INDEX(_xlfn._xlws.FILTER(#REF!, tblPiNAnalysis[Population Group]=C$5), 0, MATCH(_xlfn.CONCAT($Q$2, "%"), #REF!, 0))=$A65, 1, 0)))), "")</f>
        <v/>
      </c>
      <c r="D65" s="35" t="str" cm="1">
        <f t="array" ref="D65">IFERROR(IF(OR($A65="", D$5=""), "", IF(SUM(IF(INDEX(_xlfn._xlws.FILTER(#REF!, tblPiNAnalysis[Population Group]=D$5), 0, MATCH(_xlfn.CONCAT($Q$2, "%"), #REF!, 0))=$A65, 1, 0))=0, "",SUM(IF(INDEX(_xlfn._xlws.FILTER(#REF!, tblPiNAnalysis[Population Group]=D$5), 0, MATCH(_xlfn.CONCAT($Q$2, "%"), #REF!, 0))=$A65, 1, 0)))), "")</f>
        <v/>
      </c>
      <c r="E65" s="35" t="str" cm="1">
        <f t="array" ref="E65">IFERROR(IF(OR($A65="", E$5=""), "", IF(SUM(IF(INDEX(_xlfn._xlws.FILTER(#REF!, tblPiNAnalysis[Population Group]=E$5), 0, MATCH(_xlfn.CONCAT($Q$2, "%"), #REF!, 0))=$A65, 1, 0))=0, "",SUM(IF(INDEX(_xlfn._xlws.FILTER(#REF!, tblPiNAnalysis[Population Group]=E$5), 0, MATCH(_xlfn.CONCAT($Q$2, "%"), #REF!, 0))=$A65, 1, 0)))), "")</f>
        <v/>
      </c>
      <c r="F65" s="35" t="str" cm="1">
        <f t="array" ref="F65">IFERROR(IF(OR($A65="", F$5=""), "", IF(SUM(IF(INDEX(_xlfn._xlws.FILTER(#REF!, tblPiNAnalysis[CCCM]=F$5), 0, MATCH(_xlfn.CONCAT($Q$2, "%"), #REF!, 0))=$A65, 1, 0))=0, "",SUM(IF(INDEX(_xlfn._xlws.FILTER(#REF!, tblPiNAnalysis[CCCM]=F$5), 0, MATCH(_xlfn.CONCAT($Q$2, "%"), #REF!, 0))=$A65, 1, 0)))), "")</f>
        <v/>
      </c>
      <c r="H65" s="37"/>
      <c r="I65" s="35" t="str" cm="1">
        <f t="array" ref="I65">IF($H65="", "", IF($H65=2, SUM(IF(INDEX(_xlfn._xlws.FILTER(#REF!,#REF!= I$5), 0, MATCH($Q$2,#REF!, 0))&gt;1.9, 1, 0)), IF(SUM(IF(INDEX(_xlfn._xlws.FILTER(#REF!,#REF!= I$5), 0, MATCH($Q$2,#REF!, 0))=$H65, 1, 0))=0, "", SUM(IF(INDEX(_xlfn._xlws.FILTER(#REF!,#REF!= I$5), 0, MATCH($Q$2,#REF!, 0))=$H65, 1, 0)))))</f>
        <v/>
      </c>
      <c r="J65" s="35" t="str" cm="1">
        <f t="array" ref="J65">IFERROR(IF(OR($H65="", J64=""), "", IF($H65=2, SUM(IF(INDEX(_xlfn._xlws.FILTER(#REF!,#REF!= J$5), 0, MATCH($Q$2,#REF!, 0))&gt;1.9, 1, 0)), IF(SUM(IF(INDEX(_xlfn._xlws.FILTER(#REF!,#REF!= J$5), 0, MATCH($Q$2,#REF!, 0))=$H65, 1, 0))=0, "", SUM(IF(INDEX(_xlfn._xlws.FILTER(#REF!,#REF!= J$5), 0, MATCH($Q$2,#REF!, 0))=$H65, 1, 0))))), "")</f>
        <v/>
      </c>
      <c r="K65" s="35" t="str" cm="1">
        <f t="array" ref="K65">IFERROR(IF(OR($H65="", K64=""), "", IF($H65=2, SUM(IF(INDEX(_xlfn._xlws.FILTER(#REF!,#REF!= K$5), 0, MATCH($Q$2,#REF!, 0))&gt;1.9, 1, 0)), IF(SUM(IF(INDEX(_xlfn._xlws.FILTER(#REF!,#REF!= K$5), 0, MATCH($Q$2,#REF!, 0))=$H65, 1, 0))=0, "", SUM(IF(INDEX(_xlfn._xlws.FILTER(#REF!,#REF!= K$5), 0, MATCH($Q$2,#REF!, 0))=$H65, 1, 0))))), "")</f>
        <v/>
      </c>
      <c r="L65" s="35" t="str" cm="1">
        <f t="array" ref="L65">IFERROR(IF(OR($H65="", L64=""), "", IF($H65=2, SUM(IF(INDEX(_xlfn._xlws.FILTER(#REF!,#REF!= L$5), 0, MATCH($Q$2,#REF!, 0))&gt;1.9, 1, 0)), IF(SUM(IF(INDEX(_xlfn._xlws.FILTER(#REF!,#REF!= L$5), 0, MATCH($Q$2,#REF!, 0))=$H65, 1, 0))=0, "", SUM(IF(INDEX(_xlfn._xlws.FILTER(#REF!,#REF!= L$5), 0, MATCH($Q$2,#REF!, 0))=$H65, 1, 0))))), "")</f>
        <v/>
      </c>
      <c r="M65" s="35" t="str" cm="1">
        <f t="array" ref="M65">IFERROR(IF(OR($H65="", M64=""), "", IF($H65=2, SUM(IF(INDEX(_xlfn._xlws.FILTER(#REF!,#REF!= M$5), 0, MATCH($Q$2,#REF!, 0))&gt;1.9, 1, 0)), IF(SUM(IF(INDEX(_xlfn._xlws.FILTER(#REF!,#REF!= M$5), 0, MATCH($Q$2,#REF!, 0))=$H65, 1, 0))=0, "", SUM(IF(INDEX(_xlfn._xlws.FILTER(#REF!,#REF!= M$5), 0, MATCH($Q$2,#REF!, 0))=$H65, 1, 0))))), "")</f>
        <v/>
      </c>
    </row>
    <row r="66" spans="1:13" x14ac:dyDescent="0.55000000000000004">
      <c r="A66" s="37"/>
      <c r="B66" s="35" t="str" cm="1">
        <f t="array" ref="B66">IF($A66="", "", IF(SUM(IF(INDEX(_xlfn._xlws.FILTER(#REF!, tblPiNAnalysis[Population Group]=B$5), 0, MATCH(_xlfn.CONCAT($Q$2, "%"), #REF!, 0))=$A66, 1, 0))=0, "",SUM(IF(INDEX(_xlfn._xlws.FILTER(#REF!, tblPiNAnalysis[Population Group]=B$5), 0, MATCH(_xlfn.CONCAT($Q$2, "%"), #REF!, 0))=$A66, 1, 0))))</f>
        <v/>
      </c>
      <c r="C66" s="35" t="str" cm="1">
        <f t="array" ref="C66">IFERROR(IF(OR($A66="", C$5=""), "", IF(SUM(IF(INDEX(_xlfn._xlws.FILTER(#REF!, tblPiNAnalysis[Population Group]=C$5), 0, MATCH(_xlfn.CONCAT($Q$2, "%"), #REF!, 0))=$A66, 1, 0))=0, "",SUM(IF(INDEX(_xlfn._xlws.FILTER(#REF!, tblPiNAnalysis[Population Group]=C$5), 0, MATCH(_xlfn.CONCAT($Q$2, "%"), #REF!, 0))=$A66, 1, 0)))), "")</f>
        <v/>
      </c>
      <c r="D66" s="35" t="str" cm="1">
        <f t="array" ref="D66">IFERROR(IF(OR($A66="", D$5=""), "", IF(SUM(IF(INDEX(_xlfn._xlws.FILTER(#REF!, tblPiNAnalysis[Population Group]=D$5), 0, MATCH(_xlfn.CONCAT($Q$2, "%"), #REF!, 0))=$A66, 1, 0))=0, "",SUM(IF(INDEX(_xlfn._xlws.FILTER(#REF!, tblPiNAnalysis[Population Group]=D$5), 0, MATCH(_xlfn.CONCAT($Q$2, "%"), #REF!, 0))=$A66, 1, 0)))), "")</f>
        <v/>
      </c>
      <c r="E66" s="35" t="str" cm="1">
        <f t="array" ref="E66">IFERROR(IF(OR($A66="", E$5=""), "", IF(SUM(IF(INDEX(_xlfn._xlws.FILTER(#REF!, tblPiNAnalysis[Population Group]=E$5), 0, MATCH(_xlfn.CONCAT($Q$2, "%"), #REF!, 0))=$A66, 1, 0))=0, "",SUM(IF(INDEX(_xlfn._xlws.FILTER(#REF!, tblPiNAnalysis[Population Group]=E$5), 0, MATCH(_xlfn.CONCAT($Q$2, "%"), #REF!, 0))=$A66, 1, 0)))), "")</f>
        <v/>
      </c>
      <c r="F66" s="35" t="str" cm="1">
        <f t="array" ref="F66">IFERROR(IF(OR($A66="", F$5=""), "", IF(SUM(IF(INDEX(_xlfn._xlws.FILTER(#REF!, tblPiNAnalysis[CCCM]=F$5), 0, MATCH(_xlfn.CONCAT($Q$2, "%"), #REF!, 0))=$A66, 1, 0))=0, "",SUM(IF(INDEX(_xlfn._xlws.FILTER(#REF!, tblPiNAnalysis[CCCM]=F$5), 0, MATCH(_xlfn.CONCAT($Q$2, "%"), #REF!, 0))=$A66, 1, 0)))), "")</f>
        <v/>
      </c>
      <c r="H66" s="37"/>
      <c r="I66" s="35" t="str" cm="1">
        <f t="array" ref="I66">IF($H66="", "", IF($H66=2, SUM(IF(INDEX(_xlfn._xlws.FILTER(#REF!,#REF!= I$5), 0, MATCH($Q$2,#REF!, 0))&gt;1.9, 1, 0)), IF(SUM(IF(INDEX(_xlfn._xlws.FILTER(#REF!,#REF!= I$5), 0, MATCH($Q$2,#REF!, 0))=$H66, 1, 0))=0, "", SUM(IF(INDEX(_xlfn._xlws.FILTER(#REF!,#REF!= I$5), 0, MATCH($Q$2,#REF!, 0))=$H66, 1, 0)))))</f>
        <v/>
      </c>
      <c r="J66" s="35" t="str" cm="1">
        <f t="array" ref="J66">IFERROR(IF(OR($H66="", J65=""), "", IF($H66=2, SUM(IF(INDEX(_xlfn._xlws.FILTER(#REF!,#REF!= J$5), 0, MATCH($Q$2,#REF!, 0))&gt;1.9, 1, 0)), IF(SUM(IF(INDEX(_xlfn._xlws.FILTER(#REF!,#REF!= J$5), 0, MATCH($Q$2,#REF!, 0))=$H66, 1, 0))=0, "", SUM(IF(INDEX(_xlfn._xlws.FILTER(#REF!,#REF!= J$5), 0, MATCH($Q$2,#REF!, 0))=$H66, 1, 0))))), "")</f>
        <v/>
      </c>
      <c r="K66" s="35" t="str" cm="1">
        <f t="array" ref="K66">IFERROR(IF(OR($H66="", K65=""), "", IF($H66=2, SUM(IF(INDEX(_xlfn._xlws.FILTER(#REF!,#REF!= K$5), 0, MATCH($Q$2,#REF!, 0))&gt;1.9, 1, 0)), IF(SUM(IF(INDEX(_xlfn._xlws.FILTER(#REF!,#REF!= K$5), 0, MATCH($Q$2,#REF!, 0))=$H66, 1, 0))=0, "", SUM(IF(INDEX(_xlfn._xlws.FILTER(#REF!,#REF!= K$5), 0, MATCH($Q$2,#REF!, 0))=$H66, 1, 0))))), "")</f>
        <v/>
      </c>
      <c r="L66" s="35" t="str" cm="1">
        <f t="array" ref="L66">IFERROR(IF(OR($H66="", L65=""), "", IF($H66=2, SUM(IF(INDEX(_xlfn._xlws.FILTER(#REF!,#REF!= L$5), 0, MATCH($Q$2,#REF!, 0))&gt;1.9, 1, 0)), IF(SUM(IF(INDEX(_xlfn._xlws.FILTER(#REF!,#REF!= L$5), 0, MATCH($Q$2,#REF!, 0))=$H66, 1, 0))=0, "", SUM(IF(INDEX(_xlfn._xlws.FILTER(#REF!,#REF!= L$5), 0, MATCH($Q$2,#REF!, 0))=$H66, 1, 0))))), "")</f>
        <v/>
      </c>
      <c r="M66" s="35" t="str" cm="1">
        <f t="array" ref="M66">IFERROR(IF(OR($H66="", M65=""), "", IF($H66=2, SUM(IF(INDEX(_xlfn._xlws.FILTER(#REF!,#REF!= M$5), 0, MATCH($Q$2,#REF!, 0))&gt;1.9, 1, 0)), IF(SUM(IF(INDEX(_xlfn._xlws.FILTER(#REF!,#REF!= M$5), 0, MATCH($Q$2,#REF!, 0))=$H66, 1, 0))=0, "", SUM(IF(INDEX(_xlfn._xlws.FILTER(#REF!,#REF!= M$5), 0, MATCH($Q$2,#REF!, 0))=$H66, 1, 0))))), "")</f>
        <v/>
      </c>
    </row>
    <row r="67" spans="1:13" x14ac:dyDescent="0.55000000000000004">
      <c r="A67" s="37"/>
      <c r="B67" s="35" t="str" cm="1">
        <f t="array" ref="B67">IF($A67="", "", IF(SUM(IF(INDEX(_xlfn._xlws.FILTER(#REF!, tblPiNAnalysis[Population Group]=B$5), 0, MATCH(_xlfn.CONCAT($Q$2, "%"), #REF!, 0))=$A67, 1, 0))=0, "",SUM(IF(INDEX(_xlfn._xlws.FILTER(#REF!, tblPiNAnalysis[Population Group]=B$5), 0, MATCH(_xlfn.CONCAT($Q$2, "%"), #REF!, 0))=$A67, 1, 0))))</f>
        <v/>
      </c>
      <c r="C67" s="35" t="str" cm="1">
        <f t="array" ref="C67">IFERROR(IF(OR($A67="", C$5=""), "", IF(SUM(IF(INDEX(_xlfn._xlws.FILTER(#REF!, tblPiNAnalysis[Population Group]=C$5), 0, MATCH(_xlfn.CONCAT($Q$2, "%"), #REF!, 0))=$A67, 1, 0))=0, "",SUM(IF(INDEX(_xlfn._xlws.FILTER(#REF!, tblPiNAnalysis[Population Group]=C$5), 0, MATCH(_xlfn.CONCAT($Q$2, "%"), #REF!, 0))=$A67, 1, 0)))), "")</f>
        <v/>
      </c>
      <c r="D67" s="35" t="str" cm="1">
        <f t="array" ref="D67">IFERROR(IF(OR($A67="", D$5=""), "", IF(SUM(IF(INDEX(_xlfn._xlws.FILTER(#REF!, tblPiNAnalysis[Population Group]=D$5), 0, MATCH(_xlfn.CONCAT($Q$2, "%"), #REF!, 0))=$A67, 1, 0))=0, "",SUM(IF(INDEX(_xlfn._xlws.FILTER(#REF!, tblPiNAnalysis[Population Group]=D$5), 0, MATCH(_xlfn.CONCAT($Q$2, "%"), #REF!, 0))=$A67, 1, 0)))), "")</f>
        <v/>
      </c>
      <c r="E67" s="35" t="str" cm="1">
        <f t="array" ref="E67">IFERROR(IF(OR($A67="", E$5=""), "", IF(SUM(IF(INDEX(_xlfn._xlws.FILTER(#REF!, tblPiNAnalysis[Population Group]=E$5), 0, MATCH(_xlfn.CONCAT($Q$2, "%"), #REF!, 0))=$A67, 1, 0))=0, "",SUM(IF(INDEX(_xlfn._xlws.FILTER(#REF!, tblPiNAnalysis[Population Group]=E$5), 0, MATCH(_xlfn.CONCAT($Q$2, "%"), #REF!, 0))=$A67, 1, 0)))), "")</f>
        <v/>
      </c>
      <c r="F67" s="35" t="str" cm="1">
        <f t="array" ref="F67">IFERROR(IF(OR($A67="", F$5=""), "", IF(SUM(IF(INDEX(_xlfn._xlws.FILTER(#REF!, tblPiNAnalysis[CCCM]=F$5), 0, MATCH(_xlfn.CONCAT($Q$2, "%"), #REF!, 0))=$A67, 1, 0))=0, "",SUM(IF(INDEX(_xlfn._xlws.FILTER(#REF!, tblPiNAnalysis[CCCM]=F$5), 0, MATCH(_xlfn.CONCAT($Q$2, "%"), #REF!, 0))=$A67, 1, 0)))), "")</f>
        <v/>
      </c>
      <c r="H67" s="37"/>
      <c r="I67" s="35" t="str" cm="1">
        <f t="array" ref="I67">IF($H67="", "", IF($H67=2, SUM(IF(INDEX(_xlfn._xlws.FILTER(#REF!,#REF!= I$5), 0, MATCH($Q$2,#REF!, 0))&gt;1.9, 1, 0)), IF(SUM(IF(INDEX(_xlfn._xlws.FILTER(#REF!,#REF!= I$5), 0, MATCH($Q$2,#REF!, 0))=$H67, 1, 0))=0, "", SUM(IF(INDEX(_xlfn._xlws.FILTER(#REF!,#REF!= I$5), 0, MATCH($Q$2,#REF!, 0))=$H67, 1, 0)))))</f>
        <v/>
      </c>
      <c r="J67" s="35" t="str" cm="1">
        <f t="array" ref="J67">IFERROR(IF(OR($H67="", J66=""), "", IF($H67=2, SUM(IF(INDEX(_xlfn._xlws.FILTER(#REF!,#REF!= J$5), 0, MATCH($Q$2,#REF!, 0))&gt;1.9, 1, 0)), IF(SUM(IF(INDEX(_xlfn._xlws.FILTER(#REF!,#REF!= J$5), 0, MATCH($Q$2,#REF!, 0))=$H67, 1, 0))=0, "", SUM(IF(INDEX(_xlfn._xlws.FILTER(#REF!,#REF!= J$5), 0, MATCH($Q$2,#REF!, 0))=$H67, 1, 0))))), "")</f>
        <v/>
      </c>
      <c r="K67" s="35" t="str" cm="1">
        <f t="array" ref="K67">IFERROR(IF(OR($H67="", K66=""), "", IF($H67=2, SUM(IF(INDEX(_xlfn._xlws.FILTER(#REF!,#REF!= K$5), 0, MATCH($Q$2,#REF!, 0))&gt;1.9, 1, 0)), IF(SUM(IF(INDEX(_xlfn._xlws.FILTER(#REF!,#REF!= K$5), 0, MATCH($Q$2,#REF!, 0))=$H67, 1, 0))=0, "", SUM(IF(INDEX(_xlfn._xlws.FILTER(#REF!,#REF!= K$5), 0, MATCH($Q$2,#REF!, 0))=$H67, 1, 0))))), "")</f>
        <v/>
      </c>
      <c r="L67" s="35" t="str" cm="1">
        <f t="array" ref="L67">IFERROR(IF(OR($H67="", L66=""), "", IF($H67=2, SUM(IF(INDEX(_xlfn._xlws.FILTER(#REF!,#REF!= L$5), 0, MATCH($Q$2,#REF!, 0))&gt;1.9, 1, 0)), IF(SUM(IF(INDEX(_xlfn._xlws.FILTER(#REF!,#REF!= L$5), 0, MATCH($Q$2,#REF!, 0))=$H67, 1, 0))=0, "", SUM(IF(INDEX(_xlfn._xlws.FILTER(#REF!,#REF!= L$5), 0, MATCH($Q$2,#REF!, 0))=$H67, 1, 0))))), "")</f>
        <v/>
      </c>
      <c r="M67" s="35" t="str" cm="1">
        <f t="array" ref="M67">IFERROR(IF(OR($H67="", M66=""), "", IF($H67=2, SUM(IF(INDEX(_xlfn._xlws.FILTER(#REF!,#REF!= M$5), 0, MATCH($Q$2,#REF!, 0))&gt;1.9, 1, 0)), IF(SUM(IF(INDEX(_xlfn._xlws.FILTER(#REF!,#REF!= M$5), 0, MATCH($Q$2,#REF!, 0))=$H67, 1, 0))=0, "", SUM(IF(INDEX(_xlfn._xlws.FILTER(#REF!,#REF!= M$5), 0, MATCH($Q$2,#REF!, 0))=$H67, 1, 0))))), "")</f>
        <v/>
      </c>
    </row>
    <row r="68" spans="1:13" x14ac:dyDescent="0.55000000000000004">
      <c r="A68" s="37"/>
      <c r="B68" s="35" t="str" cm="1">
        <f t="array" ref="B68">IF($A68="", "", IF(SUM(IF(INDEX(_xlfn._xlws.FILTER(#REF!, tblPiNAnalysis[Population Group]=B$5), 0, MATCH(_xlfn.CONCAT($Q$2, "%"), #REF!, 0))=$A68, 1, 0))=0, "",SUM(IF(INDEX(_xlfn._xlws.FILTER(#REF!, tblPiNAnalysis[Population Group]=B$5), 0, MATCH(_xlfn.CONCAT($Q$2, "%"), #REF!, 0))=$A68, 1, 0))))</f>
        <v/>
      </c>
      <c r="C68" s="35" t="str" cm="1">
        <f t="array" ref="C68">IFERROR(IF(OR($A68="", C$5=""), "", IF(SUM(IF(INDEX(_xlfn._xlws.FILTER(#REF!, tblPiNAnalysis[Population Group]=C$5), 0, MATCH(_xlfn.CONCAT($Q$2, "%"), #REF!, 0))=$A68, 1, 0))=0, "",SUM(IF(INDEX(_xlfn._xlws.FILTER(#REF!, tblPiNAnalysis[Population Group]=C$5), 0, MATCH(_xlfn.CONCAT($Q$2, "%"), #REF!, 0))=$A68, 1, 0)))), "")</f>
        <v/>
      </c>
      <c r="D68" s="35" t="str" cm="1">
        <f t="array" ref="D68">IFERROR(IF(OR($A68="", D$5=""), "", IF(SUM(IF(INDEX(_xlfn._xlws.FILTER(#REF!, tblPiNAnalysis[Population Group]=D$5), 0, MATCH(_xlfn.CONCAT($Q$2, "%"), #REF!, 0))=$A68, 1, 0))=0, "",SUM(IF(INDEX(_xlfn._xlws.FILTER(#REF!, tblPiNAnalysis[Population Group]=D$5), 0, MATCH(_xlfn.CONCAT($Q$2, "%"), #REF!, 0))=$A68, 1, 0)))), "")</f>
        <v/>
      </c>
      <c r="E68" s="35" t="str" cm="1">
        <f t="array" ref="E68">IFERROR(IF(OR($A68="", E$5=""), "", IF(SUM(IF(INDEX(_xlfn._xlws.FILTER(#REF!, tblPiNAnalysis[Population Group]=E$5), 0, MATCH(_xlfn.CONCAT($Q$2, "%"), #REF!, 0))=$A68, 1, 0))=0, "",SUM(IF(INDEX(_xlfn._xlws.FILTER(#REF!, tblPiNAnalysis[Population Group]=E$5), 0, MATCH(_xlfn.CONCAT($Q$2, "%"), #REF!, 0))=$A68, 1, 0)))), "")</f>
        <v/>
      </c>
      <c r="F68" s="35" t="str" cm="1">
        <f t="array" ref="F68">IFERROR(IF(OR($A68="", F$5=""), "", IF(SUM(IF(INDEX(_xlfn._xlws.FILTER(#REF!, tblPiNAnalysis[CCCM]=F$5), 0, MATCH(_xlfn.CONCAT($Q$2, "%"), #REF!, 0))=$A68, 1, 0))=0, "",SUM(IF(INDEX(_xlfn._xlws.FILTER(#REF!, tblPiNAnalysis[CCCM]=F$5), 0, MATCH(_xlfn.CONCAT($Q$2, "%"), #REF!, 0))=$A68, 1, 0)))), "")</f>
        <v/>
      </c>
      <c r="H68" s="37"/>
      <c r="I68" s="35" t="str" cm="1">
        <f t="array" ref="I68">IF($H68="", "", IF($H68=2, SUM(IF(INDEX(_xlfn._xlws.FILTER(#REF!,#REF!= I$5), 0, MATCH($Q$2,#REF!, 0))&gt;1.9, 1, 0)), IF(SUM(IF(INDEX(_xlfn._xlws.FILTER(#REF!,#REF!= I$5), 0, MATCH($Q$2,#REF!, 0))=$H68, 1, 0))=0, "", SUM(IF(INDEX(_xlfn._xlws.FILTER(#REF!,#REF!= I$5), 0, MATCH($Q$2,#REF!, 0))=$H68, 1, 0)))))</f>
        <v/>
      </c>
      <c r="J68" s="35" t="str" cm="1">
        <f t="array" ref="J68">IFERROR(IF(OR($H68="", J67=""), "", IF($H68=2, SUM(IF(INDEX(_xlfn._xlws.FILTER(#REF!,#REF!= J$5), 0, MATCH($Q$2,#REF!, 0))&gt;1.9, 1, 0)), IF(SUM(IF(INDEX(_xlfn._xlws.FILTER(#REF!,#REF!= J$5), 0, MATCH($Q$2,#REF!, 0))=$H68, 1, 0))=0, "", SUM(IF(INDEX(_xlfn._xlws.FILTER(#REF!,#REF!= J$5), 0, MATCH($Q$2,#REF!, 0))=$H68, 1, 0))))), "")</f>
        <v/>
      </c>
      <c r="K68" s="35" t="str" cm="1">
        <f t="array" ref="K68">IFERROR(IF(OR($H68="", K67=""), "", IF($H68=2, SUM(IF(INDEX(_xlfn._xlws.FILTER(#REF!,#REF!= K$5), 0, MATCH($Q$2,#REF!, 0))&gt;1.9, 1, 0)), IF(SUM(IF(INDEX(_xlfn._xlws.FILTER(#REF!,#REF!= K$5), 0, MATCH($Q$2,#REF!, 0))=$H68, 1, 0))=0, "", SUM(IF(INDEX(_xlfn._xlws.FILTER(#REF!,#REF!= K$5), 0, MATCH($Q$2,#REF!, 0))=$H68, 1, 0))))), "")</f>
        <v/>
      </c>
      <c r="L68" s="35" t="str" cm="1">
        <f t="array" ref="L68">IFERROR(IF(OR($H68="", L67=""), "", IF($H68=2, SUM(IF(INDEX(_xlfn._xlws.FILTER(#REF!,#REF!= L$5), 0, MATCH($Q$2,#REF!, 0))&gt;1.9, 1, 0)), IF(SUM(IF(INDEX(_xlfn._xlws.FILTER(#REF!,#REF!= L$5), 0, MATCH($Q$2,#REF!, 0))=$H68, 1, 0))=0, "", SUM(IF(INDEX(_xlfn._xlws.FILTER(#REF!,#REF!= L$5), 0, MATCH($Q$2,#REF!, 0))=$H68, 1, 0))))), "")</f>
        <v/>
      </c>
      <c r="M68" s="35" t="str" cm="1">
        <f t="array" ref="M68">IFERROR(IF(OR($H68="", M67=""), "", IF($H68=2, SUM(IF(INDEX(_xlfn._xlws.FILTER(#REF!,#REF!= M$5), 0, MATCH($Q$2,#REF!, 0))&gt;1.9, 1, 0)), IF(SUM(IF(INDEX(_xlfn._xlws.FILTER(#REF!,#REF!= M$5), 0, MATCH($Q$2,#REF!, 0))=$H68, 1, 0))=0, "", SUM(IF(INDEX(_xlfn._xlws.FILTER(#REF!,#REF!= M$5), 0, MATCH($Q$2,#REF!, 0))=$H68, 1, 0))))), "")</f>
        <v/>
      </c>
    </row>
    <row r="69" spans="1:13" x14ac:dyDescent="0.55000000000000004">
      <c r="A69" s="37"/>
      <c r="B69" s="35" t="str" cm="1">
        <f t="array" ref="B69">IF($A69="", "", IF(SUM(IF(INDEX(_xlfn._xlws.FILTER(#REF!, tblPiNAnalysis[Population Group]=B$5), 0, MATCH(_xlfn.CONCAT($Q$2, "%"), #REF!, 0))=$A69, 1, 0))=0, "",SUM(IF(INDEX(_xlfn._xlws.FILTER(#REF!, tblPiNAnalysis[Population Group]=B$5), 0, MATCH(_xlfn.CONCAT($Q$2, "%"), #REF!, 0))=$A69, 1, 0))))</f>
        <v/>
      </c>
      <c r="C69" s="35" t="str" cm="1">
        <f t="array" ref="C69">IFERROR(IF(OR($A69="", C$5=""), "", IF(SUM(IF(INDEX(_xlfn._xlws.FILTER(#REF!, tblPiNAnalysis[Population Group]=C$5), 0, MATCH(_xlfn.CONCAT($Q$2, "%"), #REF!, 0))=$A69, 1, 0))=0, "",SUM(IF(INDEX(_xlfn._xlws.FILTER(#REF!, tblPiNAnalysis[Population Group]=C$5), 0, MATCH(_xlfn.CONCAT($Q$2, "%"), #REF!, 0))=$A69, 1, 0)))), "")</f>
        <v/>
      </c>
      <c r="D69" s="35" t="str" cm="1">
        <f t="array" ref="D69">IFERROR(IF(OR($A69="", D$5=""), "", IF(SUM(IF(INDEX(_xlfn._xlws.FILTER(#REF!, tblPiNAnalysis[Population Group]=D$5), 0, MATCH(_xlfn.CONCAT($Q$2, "%"), #REF!, 0))=$A69, 1, 0))=0, "",SUM(IF(INDEX(_xlfn._xlws.FILTER(#REF!, tblPiNAnalysis[Population Group]=D$5), 0, MATCH(_xlfn.CONCAT($Q$2, "%"), #REF!, 0))=$A69, 1, 0)))), "")</f>
        <v/>
      </c>
      <c r="E69" s="35" t="str" cm="1">
        <f t="array" ref="E69">IFERROR(IF(OR($A69="", E$5=""), "", IF(SUM(IF(INDEX(_xlfn._xlws.FILTER(#REF!, tblPiNAnalysis[Population Group]=E$5), 0, MATCH(_xlfn.CONCAT($Q$2, "%"), #REF!, 0))=$A69, 1, 0))=0, "",SUM(IF(INDEX(_xlfn._xlws.FILTER(#REF!, tblPiNAnalysis[Population Group]=E$5), 0, MATCH(_xlfn.CONCAT($Q$2, "%"), #REF!, 0))=$A69, 1, 0)))), "")</f>
        <v/>
      </c>
      <c r="F69" s="35" t="str" cm="1">
        <f t="array" ref="F69">IFERROR(IF(OR($A69="", F$5=""), "", IF(SUM(IF(INDEX(_xlfn._xlws.FILTER(#REF!, tblPiNAnalysis[CCCM]=F$5), 0, MATCH(_xlfn.CONCAT($Q$2, "%"), #REF!, 0))=$A69, 1, 0))=0, "",SUM(IF(INDEX(_xlfn._xlws.FILTER(#REF!, tblPiNAnalysis[CCCM]=F$5), 0, MATCH(_xlfn.CONCAT($Q$2, "%"), #REF!, 0))=$A69, 1, 0)))), "")</f>
        <v/>
      </c>
      <c r="H69" s="37"/>
      <c r="I69" s="35" t="str" cm="1">
        <f t="array" ref="I69">IF($H69="", "", IF($H69=2, SUM(IF(INDEX(_xlfn._xlws.FILTER(#REF!,#REF!= I$5), 0, MATCH($Q$2,#REF!, 0))&gt;1.9, 1, 0)), IF(SUM(IF(INDEX(_xlfn._xlws.FILTER(#REF!,#REF!= I$5), 0, MATCH($Q$2,#REF!, 0))=$H69, 1, 0))=0, "", SUM(IF(INDEX(_xlfn._xlws.FILTER(#REF!,#REF!= I$5), 0, MATCH($Q$2,#REF!, 0))=$H69, 1, 0)))))</f>
        <v/>
      </c>
      <c r="J69" s="35" t="str" cm="1">
        <f t="array" ref="J69">IFERROR(IF(OR($H69="", J68=""), "", IF($H69=2, SUM(IF(INDEX(_xlfn._xlws.FILTER(#REF!,#REF!= J$5), 0, MATCH($Q$2,#REF!, 0))&gt;1.9, 1, 0)), IF(SUM(IF(INDEX(_xlfn._xlws.FILTER(#REF!,#REF!= J$5), 0, MATCH($Q$2,#REF!, 0))=$H69, 1, 0))=0, "", SUM(IF(INDEX(_xlfn._xlws.FILTER(#REF!,#REF!= J$5), 0, MATCH($Q$2,#REF!, 0))=$H69, 1, 0))))), "")</f>
        <v/>
      </c>
      <c r="K69" s="35" t="str" cm="1">
        <f t="array" ref="K69">IFERROR(IF(OR($H69="", K68=""), "", IF($H69=2, SUM(IF(INDEX(_xlfn._xlws.FILTER(#REF!,#REF!= K$5), 0, MATCH($Q$2,#REF!, 0))&gt;1.9, 1, 0)), IF(SUM(IF(INDEX(_xlfn._xlws.FILTER(#REF!,#REF!= K$5), 0, MATCH($Q$2,#REF!, 0))=$H69, 1, 0))=0, "", SUM(IF(INDEX(_xlfn._xlws.FILTER(#REF!,#REF!= K$5), 0, MATCH($Q$2,#REF!, 0))=$H69, 1, 0))))), "")</f>
        <v/>
      </c>
      <c r="L69" s="35" t="str" cm="1">
        <f t="array" ref="L69">IFERROR(IF(OR($H69="", L68=""), "", IF($H69=2, SUM(IF(INDEX(_xlfn._xlws.FILTER(#REF!,#REF!= L$5), 0, MATCH($Q$2,#REF!, 0))&gt;1.9, 1, 0)), IF(SUM(IF(INDEX(_xlfn._xlws.FILTER(#REF!,#REF!= L$5), 0, MATCH($Q$2,#REF!, 0))=$H69, 1, 0))=0, "", SUM(IF(INDEX(_xlfn._xlws.FILTER(#REF!,#REF!= L$5), 0, MATCH($Q$2,#REF!, 0))=$H69, 1, 0))))), "")</f>
        <v/>
      </c>
      <c r="M69" s="35" t="str" cm="1">
        <f t="array" ref="M69">IFERROR(IF(OR($H69="", M68=""), "", IF($H69=2, SUM(IF(INDEX(_xlfn._xlws.FILTER(#REF!,#REF!= M$5), 0, MATCH($Q$2,#REF!, 0))&gt;1.9, 1, 0)), IF(SUM(IF(INDEX(_xlfn._xlws.FILTER(#REF!,#REF!= M$5), 0, MATCH($Q$2,#REF!, 0))=$H69, 1, 0))=0, "", SUM(IF(INDEX(_xlfn._xlws.FILTER(#REF!,#REF!= M$5), 0, MATCH($Q$2,#REF!, 0))=$H69, 1, 0))))), "")</f>
        <v/>
      </c>
    </row>
    <row r="70" spans="1:13" x14ac:dyDescent="0.55000000000000004">
      <c r="A70" s="37"/>
      <c r="B70" s="35" t="str" cm="1">
        <f t="array" ref="B70">IF($A70="", "", IF(SUM(IF(INDEX(_xlfn._xlws.FILTER(#REF!, tblPiNAnalysis[Population Group]=B$5), 0, MATCH(_xlfn.CONCAT($Q$2, "%"), #REF!, 0))=$A70, 1, 0))=0, "",SUM(IF(INDEX(_xlfn._xlws.FILTER(#REF!, tblPiNAnalysis[Population Group]=B$5), 0, MATCH(_xlfn.CONCAT($Q$2, "%"), #REF!, 0))=$A70, 1, 0))))</f>
        <v/>
      </c>
      <c r="C70" s="35" t="str" cm="1">
        <f t="array" ref="C70">IFERROR(IF(OR($A70="", C$5=""), "", IF(SUM(IF(INDEX(_xlfn._xlws.FILTER(#REF!, tblPiNAnalysis[Population Group]=C$5), 0, MATCH(_xlfn.CONCAT($Q$2, "%"), #REF!, 0))=$A70, 1, 0))=0, "",SUM(IF(INDEX(_xlfn._xlws.FILTER(#REF!, tblPiNAnalysis[Population Group]=C$5), 0, MATCH(_xlfn.CONCAT($Q$2, "%"), #REF!, 0))=$A70, 1, 0)))), "")</f>
        <v/>
      </c>
      <c r="D70" s="35" t="str" cm="1">
        <f t="array" ref="D70">IFERROR(IF(OR($A70="", D$5=""), "", IF(SUM(IF(INDEX(_xlfn._xlws.FILTER(#REF!, tblPiNAnalysis[Population Group]=D$5), 0, MATCH(_xlfn.CONCAT($Q$2, "%"), #REF!, 0))=$A70, 1, 0))=0, "",SUM(IF(INDEX(_xlfn._xlws.FILTER(#REF!, tblPiNAnalysis[Population Group]=D$5), 0, MATCH(_xlfn.CONCAT($Q$2, "%"), #REF!, 0))=$A70, 1, 0)))), "")</f>
        <v/>
      </c>
      <c r="E70" s="35" t="str" cm="1">
        <f t="array" ref="E70">IFERROR(IF(OR($A70="", E$5=""), "", IF(SUM(IF(INDEX(_xlfn._xlws.FILTER(#REF!, tblPiNAnalysis[Population Group]=E$5), 0, MATCH(_xlfn.CONCAT($Q$2, "%"), #REF!, 0))=$A70, 1, 0))=0, "",SUM(IF(INDEX(_xlfn._xlws.FILTER(#REF!, tblPiNAnalysis[Population Group]=E$5), 0, MATCH(_xlfn.CONCAT($Q$2, "%"), #REF!, 0))=$A70, 1, 0)))), "")</f>
        <v/>
      </c>
      <c r="F70" s="35" t="str" cm="1">
        <f t="array" ref="F70">IFERROR(IF(OR($A70="", F$5=""), "", IF(SUM(IF(INDEX(_xlfn._xlws.FILTER(#REF!, tblPiNAnalysis[CCCM]=F$5), 0, MATCH(_xlfn.CONCAT($Q$2, "%"), #REF!, 0))=$A70, 1, 0))=0, "",SUM(IF(INDEX(_xlfn._xlws.FILTER(#REF!, tblPiNAnalysis[CCCM]=F$5), 0, MATCH(_xlfn.CONCAT($Q$2, "%"), #REF!, 0))=$A70, 1, 0)))), "")</f>
        <v/>
      </c>
      <c r="H70" s="37"/>
      <c r="I70" s="35" t="str" cm="1">
        <f t="array" ref="I70">IF($H70="", "", IF($H70=2, SUM(IF(INDEX(_xlfn._xlws.FILTER(#REF!,#REF!= I$5), 0, MATCH($Q$2,#REF!, 0))&gt;1.9, 1, 0)), IF(SUM(IF(INDEX(_xlfn._xlws.FILTER(#REF!,#REF!= I$5), 0, MATCH($Q$2,#REF!, 0))=$H70, 1, 0))=0, "", SUM(IF(INDEX(_xlfn._xlws.FILTER(#REF!,#REF!= I$5), 0, MATCH($Q$2,#REF!, 0))=$H70, 1, 0)))))</f>
        <v/>
      </c>
      <c r="J70" s="35" t="str" cm="1">
        <f t="array" ref="J70">IFERROR(IF(OR($H70="", J69=""), "", IF($H70=2, SUM(IF(INDEX(_xlfn._xlws.FILTER(#REF!,#REF!= J$5), 0, MATCH($Q$2,#REF!, 0))&gt;1.9, 1, 0)), IF(SUM(IF(INDEX(_xlfn._xlws.FILTER(#REF!,#REF!= J$5), 0, MATCH($Q$2,#REF!, 0))=$H70, 1, 0))=0, "", SUM(IF(INDEX(_xlfn._xlws.FILTER(#REF!,#REF!= J$5), 0, MATCH($Q$2,#REF!, 0))=$H70, 1, 0))))), "")</f>
        <v/>
      </c>
      <c r="K70" s="35" t="str" cm="1">
        <f t="array" ref="K70">IFERROR(IF(OR($H70="", K69=""), "", IF($H70=2, SUM(IF(INDEX(_xlfn._xlws.FILTER(#REF!,#REF!= K$5), 0, MATCH($Q$2,#REF!, 0))&gt;1.9, 1, 0)), IF(SUM(IF(INDEX(_xlfn._xlws.FILTER(#REF!,#REF!= K$5), 0, MATCH($Q$2,#REF!, 0))=$H70, 1, 0))=0, "", SUM(IF(INDEX(_xlfn._xlws.FILTER(#REF!,#REF!= K$5), 0, MATCH($Q$2,#REF!, 0))=$H70, 1, 0))))), "")</f>
        <v/>
      </c>
      <c r="L70" s="35" t="str" cm="1">
        <f t="array" ref="L70">IFERROR(IF(OR($H70="", L69=""), "", IF($H70=2, SUM(IF(INDEX(_xlfn._xlws.FILTER(#REF!,#REF!= L$5), 0, MATCH($Q$2,#REF!, 0))&gt;1.9, 1, 0)), IF(SUM(IF(INDEX(_xlfn._xlws.FILTER(#REF!,#REF!= L$5), 0, MATCH($Q$2,#REF!, 0))=$H70, 1, 0))=0, "", SUM(IF(INDEX(_xlfn._xlws.FILTER(#REF!,#REF!= L$5), 0, MATCH($Q$2,#REF!, 0))=$H70, 1, 0))))), "")</f>
        <v/>
      </c>
      <c r="M70" s="35" t="str" cm="1">
        <f t="array" ref="M70">IFERROR(IF(OR($H70="", M69=""), "", IF($H70=2, SUM(IF(INDEX(_xlfn._xlws.FILTER(#REF!,#REF!= M$5), 0, MATCH($Q$2,#REF!, 0))&gt;1.9, 1, 0)), IF(SUM(IF(INDEX(_xlfn._xlws.FILTER(#REF!,#REF!= M$5), 0, MATCH($Q$2,#REF!, 0))=$H70, 1, 0))=0, "", SUM(IF(INDEX(_xlfn._xlws.FILTER(#REF!,#REF!= M$5), 0, MATCH($Q$2,#REF!, 0))=$H70, 1, 0))))), "")</f>
        <v/>
      </c>
    </row>
    <row r="71" spans="1:13" x14ac:dyDescent="0.55000000000000004">
      <c r="A71" s="37"/>
      <c r="B71" s="35" t="str" cm="1">
        <f t="array" ref="B71">IF($A71="", "", IF(SUM(IF(INDEX(_xlfn._xlws.FILTER(#REF!, tblPiNAnalysis[Population Group]=B$5), 0, MATCH(_xlfn.CONCAT($Q$2, "%"), #REF!, 0))=$A71, 1, 0))=0, "",SUM(IF(INDEX(_xlfn._xlws.FILTER(#REF!, tblPiNAnalysis[Population Group]=B$5), 0, MATCH(_xlfn.CONCAT($Q$2, "%"), #REF!, 0))=$A71, 1, 0))))</f>
        <v/>
      </c>
      <c r="C71" s="35" t="str" cm="1">
        <f t="array" ref="C71">IFERROR(IF(OR($A71="", C$5=""), "", IF(SUM(IF(INDEX(_xlfn._xlws.FILTER(#REF!, tblPiNAnalysis[Population Group]=C$5), 0, MATCH(_xlfn.CONCAT($Q$2, "%"), #REF!, 0))=$A71, 1, 0))=0, "",SUM(IF(INDEX(_xlfn._xlws.FILTER(#REF!, tblPiNAnalysis[Population Group]=C$5), 0, MATCH(_xlfn.CONCAT($Q$2, "%"), #REF!, 0))=$A71, 1, 0)))), "")</f>
        <v/>
      </c>
      <c r="D71" s="35" t="str" cm="1">
        <f t="array" ref="D71">IFERROR(IF(OR($A71="", D$5=""), "", IF(SUM(IF(INDEX(_xlfn._xlws.FILTER(#REF!, tblPiNAnalysis[Population Group]=D$5), 0, MATCH(_xlfn.CONCAT($Q$2, "%"), #REF!, 0))=$A71, 1, 0))=0, "",SUM(IF(INDEX(_xlfn._xlws.FILTER(#REF!, tblPiNAnalysis[Population Group]=D$5), 0, MATCH(_xlfn.CONCAT($Q$2, "%"), #REF!, 0))=$A71, 1, 0)))), "")</f>
        <v/>
      </c>
      <c r="E71" s="35" t="str" cm="1">
        <f t="array" ref="E71">IFERROR(IF(OR($A71="", E$5=""), "", IF(SUM(IF(INDEX(_xlfn._xlws.FILTER(#REF!, tblPiNAnalysis[Population Group]=E$5), 0, MATCH(_xlfn.CONCAT($Q$2, "%"), #REF!, 0))=$A71, 1, 0))=0, "",SUM(IF(INDEX(_xlfn._xlws.FILTER(#REF!, tblPiNAnalysis[Population Group]=E$5), 0, MATCH(_xlfn.CONCAT($Q$2, "%"), #REF!, 0))=$A71, 1, 0)))), "")</f>
        <v/>
      </c>
      <c r="F71" s="35" t="str" cm="1">
        <f t="array" ref="F71">IFERROR(IF(OR($A71="", F$5=""), "", IF(SUM(IF(INDEX(_xlfn._xlws.FILTER(#REF!, tblPiNAnalysis[CCCM]=F$5), 0, MATCH(_xlfn.CONCAT($Q$2, "%"), #REF!, 0))=$A71, 1, 0))=0, "",SUM(IF(INDEX(_xlfn._xlws.FILTER(#REF!, tblPiNAnalysis[CCCM]=F$5), 0, MATCH(_xlfn.CONCAT($Q$2, "%"), #REF!, 0))=$A71, 1, 0)))), "")</f>
        <v/>
      </c>
      <c r="H71" s="37"/>
      <c r="I71" s="35" t="str" cm="1">
        <f t="array" ref="I71">IF($H71="", "", IF($H71=2, SUM(IF(INDEX(_xlfn._xlws.FILTER(#REF!,#REF!= I$5), 0, MATCH($Q$2,#REF!, 0))&gt;1.9, 1, 0)), IF(SUM(IF(INDEX(_xlfn._xlws.FILTER(#REF!,#REF!= I$5), 0, MATCH($Q$2,#REF!, 0))=$H71, 1, 0))=0, "", SUM(IF(INDEX(_xlfn._xlws.FILTER(#REF!,#REF!= I$5), 0, MATCH($Q$2,#REF!, 0))=$H71, 1, 0)))))</f>
        <v/>
      </c>
      <c r="J71" s="35" t="str" cm="1">
        <f t="array" ref="J71">IFERROR(IF(OR($H71="", J70=""), "", IF($H71=2, SUM(IF(INDEX(_xlfn._xlws.FILTER(#REF!,#REF!= J$5), 0, MATCH($Q$2,#REF!, 0))&gt;1.9, 1, 0)), IF(SUM(IF(INDEX(_xlfn._xlws.FILTER(#REF!,#REF!= J$5), 0, MATCH($Q$2,#REF!, 0))=$H71, 1, 0))=0, "", SUM(IF(INDEX(_xlfn._xlws.FILTER(#REF!,#REF!= J$5), 0, MATCH($Q$2,#REF!, 0))=$H71, 1, 0))))), "")</f>
        <v/>
      </c>
      <c r="K71" s="35" t="str" cm="1">
        <f t="array" ref="K71">IFERROR(IF(OR($H71="", K70=""), "", IF($H71=2, SUM(IF(INDEX(_xlfn._xlws.FILTER(#REF!,#REF!= K$5), 0, MATCH($Q$2,#REF!, 0))&gt;1.9, 1, 0)), IF(SUM(IF(INDEX(_xlfn._xlws.FILTER(#REF!,#REF!= K$5), 0, MATCH($Q$2,#REF!, 0))=$H71, 1, 0))=0, "", SUM(IF(INDEX(_xlfn._xlws.FILTER(#REF!,#REF!= K$5), 0, MATCH($Q$2,#REF!, 0))=$H71, 1, 0))))), "")</f>
        <v/>
      </c>
      <c r="L71" s="35" t="str" cm="1">
        <f t="array" ref="L71">IFERROR(IF(OR($H71="", L70=""), "", IF($H71=2, SUM(IF(INDEX(_xlfn._xlws.FILTER(#REF!,#REF!= L$5), 0, MATCH($Q$2,#REF!, 0))&gt;1.9, 1, 0)), IF(SUM(IF(INDEX(_xlfn._xlws.FILTER(#REF!,#REF!= L$5), 0, MATCH($Q$2,#REF!, 0))=$H71, 1, 0))=0, "", SUM(IF(INDEX(_xlfn._xlws.FILTER(#REF!,#REF!= L$5), 0, MATCH($Q$2,#REF!, 0))=$H71, 1, 0))))), "")</f>
        <v/>
      </c>
      <c r="M71" s="35" t="str" cm="1">
        <f t="array" ref="M71">IFERROR(IF(OR($H71="", M70=""), "", IF($H71=2, SUM(IF(INDEX(_xlfn._xlws.FILTER(#REF!,#REF!= M$5), 0, MATCH($Q$2,#REF!, 0))&gt;1.9, 1, 0)), IF(SUM(IF(INDEX(_xlfn._xlws.FILTER(#REF!,#REF!= M$5), 0, MATCH($Q$2,#REF!, 0))=$H71, 1, 0))=0, "", SUM(IF(INDEX(_xlfn._xlws.FILTER(#REF!,#REF!= M$5), 0, MATCH($Q$2,#REF!, 0))=$H71, 1, 0))))), "")</f>
        <v/>
      </c>
    </row>
    <row r="72" spans="1:13" x14ac:dyDescent="0.55000000000000004">
      <c r="A72" s="37"/>
      <c r="B72" s="35" t="str" cm="1">
        <f t="array" ref="B72">IF($A72="", "", IF(SUM(IF(INDEX(_xlfn._xlws.FILTER(#REF!, tblPiNAnalysis[Population Group]=B$5), 0, MATCH(_xlfn.CONCAT($Q$2, "%"), #REF!, 0))=$A72, 1, 0))=0, "",SUM(IF(INDEX(_xlfn._xlws.FILTER(#REF!, tblPiNAnalysis[Population Group]=B$5), 0, MATCH(_xlfn.CONCAT($Q$2, "%"), #REF!, 0))=$A72, 1, 0))))</f>
        <v/>
      </c>
      <c r="C72" s="35" t="str" cm="1">
        <f t="array" ref="C72">IFERROR(IF(OR($A72="", C$5=""), "", IF(SUM(IF(INDEX(_xlfn._xlws.FILTER(#REF!, tblPiNAnalysis[Population Group]=C$5), 0, MATCH(_xlfn.CONCAT($Q$2, "%"), #REF!, 0))=$A72, 1, 0))=0, "",SUM(IF(INDEX(_xlfn._xlws.FILTER(#REF!, tblPiNAnalysis[Population Group]=C$5), 0, MATCH(_xlfn.CONCAT($Q$2, "%"), #REF!, 0))=$A72, 1, 0)))), "")</f>
        <v/>
      </c>
      <c r="D72" s="35" t="str" cm="1">
        <f t="array" ref="D72">IFERROR(IF(OR($A72="", D$5=""), "", IF(SUM(IF(INDEX(_xlfn._xlws.FILTER(#REF!, tblPiNAnalysis[Population Group]=D$5), 0, MATCH(_xlfn.CONCAT($Q$2, "%"), #REF!, 0))=$A72, 1, 0))=0, "",SUM(IF(INDEX(_xlfn._xlws.FILTER(#REF!, tblPiNAnalysis[Population Group]=D$5), 0, MATCH(_xlfn.CONCAT($Q$2, "%"), #REF!, 0))=$A72, 1, 0)))), "")</f>
        <v/>
      </c>
      <c r="E72" s="35" t="str" cm="1">
        <f t="array" ref="E72">IFERROR(IF(OR($A72="", E$5=""), "", IF(SUM(IF(INDEX(_xlfn._xlws.FILTER(#REF!, tblPiNAnalysis[Population Group]=E$5), 0, MATCH(_xlfn.CONCAT($Q$2, "%"), #REF!, 0))=$A72, 1, 0))=0, "",SUM(IF(INDEX(_xlfn._xlws.FILTER(#REF!, tblPiNAnalysis[Population Group]=E$5), 0, MATCH(_xlfn.CONCAT($Q$2, "%"), #REF!, 0))=$A72, 1, 0)))), "")</f>
        <v/>
      </c>
      <c r="F72" s="35" t="str" cm="1">
        <f t="array" ref="F72">IFERROR(IF(OR($A72="", F$5=""), "", IF(SUM(IF(INDEX(_xlfn._xlws.FILTER(#REF!, tblPiNAnalysis[CCCM]=F$5), 0, MATCH(_xlfn.CONCAT($Q$2, "%"), #REF!, 0))=$A72, 1, 0))=0, "",SUM(IF(INDEX(_xlfn._xlws.FILTER(#REF!, tblPiNAnalysis[CCCM]=F$5), 0, MATCH(_xlfn.CONCAT($Q$2, "%"), #REF!, 0))=$A72, 1, 0)))), "")</f>
        <v/>
      </c>
      <c r="H72" s="37"/>
      <c r="I72" s="35" t="str" cm="1">
        <f t="array" ref="I72">IF($H72="", "", IF($H72=2, SUM(IF(INDEX(_xlfn._xlws.FILTER(#REF!,#REF!= I$5), 0, MATCH($Q$2,#REF!, 0))&gt;1.9, 1, 0)), IF(SUM(IF(INDEX(_xlfn._xlws.FILTER(#REF!,#REF!= I$5), 0, MATCH($Q$2,#REF!, 0))=$H72, 1, 0))=0, "", SUM(IF(INDEX(_xlfn._xlws.FILTER(#REF!,#REF!= I$5), 0, MATCH($Q$2,#REF!, 0))=$H72, 1, 0)))))</f>
        <v/>
      </c>
      <c r="J72" s="35" t="str" cm="1">
        <f t="array" ref="J72">IFERROR(IF(OR($H72="", J71=""), "", IF($H72=2, SUM(IF(INDEX(_xlfn._xlws.FILTER(#REF!,#REF!= J$5), 0, MATCH($Q$2,#REF!, 0))&gt;1.9, 1, 0)), IF(SUM(IF(INDEX(_xlfn._xlws.FILTER(#REF!,#REF!= J$5), 0, MATCH($Q$2,#REF!, 0))=$H72, 1, 0))=0, "", SUM(IF(INDEX(_xlfn._xlws.FILTER(#REF!,#REF!= J$5), 0, MATCH($Q$2,#REF!, 0))=$H72, 1, 0))))), "")</f>
        <v/>
      </c>
      <c r="K72" s="35" t="str" cm="1">
        <f t="array" ref="K72">IFERROR(IF(OR($H72="", K71=""), "", IF($H72=2, SUM(IF(INDEX(_xlfn._xlws.FILTER(#REF!,#REF!= K$5), 0, MATCH($Q$2,#REF!, 0))&gt;1.9, 1, 0)), IF(SUM(IF(INDEX(_xlfn._xlws.FILTER(#REF!,#REF!= K$5), 0, MATCH($Q$2,#REF!, 0))=$H72, 1, 0))=0, "", SUM(IF(INDEX(_xlfn._xlws.FILTER(#REF!,#REF!= K$5), 0, MATCH($Q$2,#REF!, 0))=$H72, 1, 0))))), "")</f>
        <v/>
      </c>
      <c r="L72" s="35" t="str" cm="1">
        <f t="array" ref="L72">IFERROR(IF(OR($H72="", L71=""), "", IF($H72=2, SUM(IF(INDEX(_xlfn._xlws.FILTER(#REF!,#REF!= L$5), 0, MATCH($Q$2,#REF!, 0))&gt;1.9, 1, 0)), IF(SUM(IF(INDEX(_xlfn._xlws.FILTER(#REF!,#REF!= L$5), 0, MATCH($Q$2,#REF!, 0))=$H72, 1, 0))=0, "", SUM(IF(INDEX(_xlfn._xlws.FILTER(#REF!,#REF!= L$5), 0, MATCH($Q$2,#REF!, 0))=$H72, 1, 0))))), "")</f>
        <v/>
      </c>
      <c r="M72" s="35" t="str" cm="1">
        <f t="array" ref="M72">IFERROR(IF(OR($H72="", M71=""), "", IF($H72=2, SUM(IF(INDEX(_xlfn._xlws.FILTER(#REF!,#REF!= M$5), 0, MATCH($Q$2,#REF!, 0))&gt;1.9, 1, 0)), IF(SUM(IF(INDEX(_xlfn._xlws.FILTER(#REF!,#REF!= M$5), 0, MATCH($Q$2,#REF!, 0))=$H72, 1, 0))=0, "", SUM(IF(INDEX(_xlfn._xlws.FILTER(#REF!,#REF!= M$5), 0, MATCH($Q$2,#REF!, 0))=$H72, 1, 0))))), "")</f>
        <v/>
      </c>
    </row>
    <row r="73" spans="1:13" x14ac:dyDescent="0.55000000000000004">
      <c r="A73" s="37"/>
      <c r="B73" s="35" t="str" cm="1">
        <f t="array" ref="B73">IF($A73="", "", IF(SUM(IF(INDEX(_xlfn._xlws.FILTER(#REF!, tblPiNAnalysis[Population Group]=B$5), 0, MATCH(_xlfn.CONCAT($Q$2, "%"), #REF!, 0))=$A73, 1, 0))=0, "",SUM(IF(INDEX(_xlfn._xlws.FILTER(#REF!, tblPiNAnalysis[Population Group]=B$5), 0, MATCH(_xlfn.CONCAT($Q$2, "%"), #REF!, 0))=$A73, 1, 0))))</f>
        <v/>
      </c>
      <c r="C73" s="35" t="str" cm="1">
        <f t="array" ref="C73">IFERROR(IF(OR($A73="", C$5=""), "", IF(SUM(IF(INDEX(_xlfn._xlws.FILTER(#REF!, tblPiNAnalysis[Population Group]=C$5), 0, MATCH(_xlfn.CONCAT($Q$2, "%"), #REF!, 0))=$A73, 1, 0))=0, "",SUM(IF(INDEX(_xlfn._xlws.FILTER(#REF!, tblPiNAnalysis[Population Group]=C$5), 0, MATCH(_xlfn.CONCAT($Q$2, "%"), #REF!, 0))=$A73, 1, 0)))), "")</f>
        <v/>
      </c>
      <c r="D73" s="35" t="str" cm="1">
        <f t="array" ref="D73">IFERROR(IF(OR($A73="", D$5=""), "", IF(SUM(IF(INDEX(_xlfn._xlws.FILTER(#REF!, tblPiNAnalysis[Population Group]=D$5), 0, MATCH(_xlfn.CONCAT($Q$2, "%"), #REF!, 0))=$A73, 1, 0))=0, "",SUM(IF(INDEX(_xlfn._xlws.FILTER(#REF!, tblPiNAnalysis[Population Group]=D$5), 0, MATCH(_xlfn.CONCAT($Q$2, "%"), #REF!, 0))=$A73, 1, 0)))), "")</f>
        <v/>
      </c>
      <c r="E73" s="35" t="str" cm="1">
        <f t="array" ref="E73">IFERROR(IF(OR($A73="", E$5=""), "", IF(SUM(IF(INDEX(_xlfn._xlws.FILTER(#REF!, tblPiNAnalysis[Population Group]=E$5), 0, MATCH(_xlfn.CONCAT($Q$2, "%"), #REF!, 0))=$A73, 1, 0))=0, "",SUM(IF(INDEX(_xlfn._xlws.FILTER(#REF!, tblPiNAnalysis[Population Group]=E$5), 0, MATCH(_xlfn.CONCAT($Q$2, "%"), #REF!, 0))=$A73, 1, 0)))), "")</f>
        <v/>
      </c>
      <c r="F73" s="35" t="str" cm="1">
        <f t="array" ref="F73">IFERROR(IF(OR($A73="", F$5=""), "", IF(SUM(IF(INDEX(_xlfn._xlws.FILTER(#REF!, tblPiNAnalysis[CCCM]=F$5), 0, MATCH(_xlfn.CONCAT($Q$2, "%"), #REF!, 0))=$A73, 1, 0))=0, "",SUM(IF(INDEX(_xlfn._xlws.FILTER(#REF!, tblPiNAnalysis[CCCM]=F$5), 0, MATCH(_xlfn.CONCAT($Q$2, "%"), #REF!, 0))=$A73, 1, 0)))), "")</f>
        <v/>
      </c>
      <c r="H73" s="37"/>
      <c r="I73" s="35" t="str" cm="1">
        <f t="array" ref="I73">IF($H73="", "", IF($H73=2, SUM(IF(INDEX(_xlfn._xlws.FILTER(#REF!,#REF!= I$5), 0, MATCH($Q$2,#REF!, 0))&gt;1.9, 1, 0)), IF(SUM(IF(INDEX(_xlfn._xlws.FILTER(#REF!,#REF!= I$5), 0, MATCH($Q$2,#REF!, 0))=$H73, 1, 0))=0, "", SUM(IF(INDEX(_xlfn._xlws.FILTER(#REF!,#REF!= I$5), 0, MATCH($Q$2,#REF!, 0))=$H73, 1, 0)))))</f>
        <v/>
      </c>
      <c r="J73" s="35" t="str" cm="1">
        <f t="array" ref="J73">IFERROR(IF(OR($H73="", J72=""), "", IF($H73=2, SUM(IF(INDEX(_xlfn._xlws.FILTER(#REF!,#REF!= J$5), 0, MATCH($Q$2,#REF!, 0))&gt;1.9, 1, 0)), IF(SUM(IF(INDEX(_xlfn._xlws.FILTER(#REF!,#REF!= J$5), 0, MATCH($Q$2,#REF!, 0))=$H73, 1, 0))=0, "", SUM(IF(INDEX(_xlfn._xlws.FILTER(#REF!,#REF!= J$5), 0, MATCH($Q$2,#REF!, 0))=$H73, 1, 0))))), "")</f>
        <v/>
      </c>
      <c r="K73" s="35" t="str" cm="1">
        <f t="array" ref="K73">IFERROR(IF(OR($H73="", K72=""), "", IF($H73=2, SUM(IF(INDEX(_xlfn._xlws.FILTER(#REF!,#REF!= K$5), 0, MATCH($Q$2,#REF!, 0))&gt;1.9, 1, 0)), IF(SUM(IF(INDEX(_xlfn._xlws.FILTER(#REF!,#REF!= K$5), 0, MATCH($Q$2,#REF!, 0))=$H73, 1, 0))=0, "", SUM(IF(INDEX(_xlfn._xlws.FILTER(#REF!,#REF!= K$5), 0, MATCH($Q$2,#REF!, 0))=$H73, 1, 0))))), "")</f>
        <v/>
      </c>
      <c r="L73" s="35" t="str" cm="1">
        <f t="array" ref="L73">IFERROR(IF(OR($H73="", L72=""), "", IF($H73=2, SUM(IF(INDEX(_xlfn._xlws.FILTER(#REF!,#REF!= L$5), 0, MATCH($Q$2,#REF!, 0))&gt;1.9, 1, 0)), IF(SUM(IF(INDEX(_xlfn._xlws.FILTER(#REF!,#REF!= L$5), 0, MATCH($Q$2,#REF!, 0))=$H73, 1, 0))=0, "", SUM(IF(INDEX(_xlfn._xlws.FILTER(#REF!,#REF!= L$5), 0, MATCH($Q$2,#REF!, 0))=$H73, 1, 0))))), "")</f>
        <v/>
      </c>
      <c r="M73" s="35" t="str" cm="1">
        <f t="array" ref="M73">IFERROR(IF(OR($H73="", M72=""), "", IF($H73=2, SUM(IF(INDEX(_xlfn._xlws.FILTER(#REF!,#REF!= M$5), 0, MATCH($Q$2,#REF!, 0))&gt;1.9, 1, 0)), IF(SUM(IF(INDEX(_xlfn._xlws.FILTER(#REF!,#REF!= M$5), 0, MATCH($Q$2,#REF!, 0))=$H73, 1, 0))=0, "", SUM(IF(INDEX(_xlfn._xlws.FILTER(#REF!,#REF!= M$5), 0, MATCH($Q$2,#REF!, 0))=$H73, 1, 0))))), "")</f>
        <v/>
      </c>
    </row>
    <row r="74" spans="1:13" x14ac:dyDescent="0.55000000000000004">
      <c r="A74" s="37"/>
      <c r="B74" s="35" t="str" cm="1">
        <f t="array" ref="B74">IF($A74="", "", IF(SUM(IF(INDEX(_xlfn._xlws.FILTER(#REF!, tblPiNAnalysis[Population Group]=B$5), 0, MATCH(_xlfn.CONCAT($Q$2, "%"), #REF!, 0))=$A74, 1, 0))=0, "",SUM(IF(INDEX(_xlfn._xlws.FILTER(#REF!, tblPiNAnalysis[Population Group]=B$5), 0, MATCH(_xlfn.CONCAT($Q$2, "%"), #REF!, 0))=$A74, 1, 0))))</f>
        <v/>
      </c>
      <c r="C74" s="35" t="str" cm="1">
        <f t="array" ref="C74">IFERROR(IF(OR($A74="", C$5=""), "", IF(SUM(IF(INDEX(_xlfn._xlws.FILTER(#REF!, tblPiNAnalysis[Population Group]=C$5), 0, MATCH(_xlfn.CONCAT($Q$2, "%"), #REF!, 0))=$A74, 1, 0))=0, "",SUM(IF(INDEX(_xlfn._xlws.FILTER(#REF!, tblPiNAnalysis[Population Group]=C$5), 0, MATCH(_xlfn.CONCAT($Q$2, "%"), #REF!, 0))=$A74, 1, 0)))), "")</f>
        <v/>
      </c>
      <c r="D74" s="35" t="str" cm="1">
        <f t="array" ref="D74">IFERROR(IF(OR($A74="", D$5=""), "", IF(SUM(IF(INDEX(_xlfn._xlws.FILTER(#REF!, tblPiNAnalysis[Population Group]=D$5), 0, MATCH(_xlfn.CONCAT($Q$2, "%"), #REF!, 0))=$A74, 1, 0))=0, "",SUM(IF(INDEX(_xlfn._xlws.FILTER(#REF!, tblPiNAnalysis[Population Group]=D$5), 0, MATCH(_xlfn.CONCAT($Q$2, "%"), #REF!, 0))=$A74, 1, 0)))), "")</f>
        <v/>
      </c>
      <c r="E74" s="35" t="str" cm="1">
        <f t="array" ref="E74">IFERROR(IF(OR($A74="", E$5=""), "", IF(SUM(IF(INDEX(_xlfn._xlws.FILTER(#REF!, tblPiNAnalysis[Population Group]=E$5), 0, MATCH(_xlfn.CONCAT($Q$2, "%"), #REF!, 0))=$A74, 1, 0))=0, "",SUM(IF(INDEX(_xlfn._xlws.FILTER(#REF!, tblPiNAnalysis[Population Group]=E$5), 0, MATCH(_xlfn.CONCAT($Q$2, "%"), #REF!, 0))=$A74, 1, 0)))), "")</f>
        <v/>
      </c>
      <c r="F74" s="35" t="str" cm="1">
        <f t="array" ref="F74">IFERROR(IF(OR($A74="", F$5=""), "", IF(SUM(IF(INDEX(_xlfn._xlws.FILTER(#REF!, tblPiNAnalysis[CCCM]=F$5), 0, MATCH(_xlfn.CONCAT($Q$2, "%"), #REF!, 0))=$A74, 1, 0))=0, "",SUM(IF(INDEX(_xlfn._xlws.FILTER(#REF!, tblPiNAnalysis[CCCM]=F$5), 0, MATCH(_xlfn.CONCAT($Q$2, "%"), #REF!, 0))=$A74, 1, 0)))), "")</f>
        <v/>
      </c>
      <c r="H74" s="37"/>
      <c r="I74" s="35" t="str" cm="1">
        <f t="array" ref="I74">IF($H74="", "", IF($H74=2, SUM(IF(INDEX(_xlfn._xlws.FILTER(#REF!,#REF!= I$5), 0, MATCH($Q$2,#REF!, 0))&gt;1.9, 1, 0)), IF(SUM(IF(INDEX(_xlfn._xlws.FILTER(#REF!,#REF!= I$5), 0, MATCH($Q$2,#REF!, 0))=$H74, 1, 0))=0, "", SUM(IF(INDEX(_xlfn._xlws.FILTER(#REF!,#REF!= I$5), 0, MATCH($Q$2,#REF!, 0))=$H74, 1, 0)))))</f>
        <v/>
      </c>
      <c r="J74" s="35" t="str" cm="1">
        <f t="array" ref="J74">IFERROR(IF(OR($H74="", J73=""), "", IF($H74=2, SUM(IF(INDEX(_xlfn._xlws.FILTER(#REF!,#REF!= J$5), 0, MATCH($Q$2,#REF!, 0))&gt;1.9, 1, 0)), IF(SUM(IF(INDEX(_xlfn._xlws.FILTER(#REF!,#REF!= J$5), 0, MATCH($Q$2,#REF!, 0))=$H74, 1, 0))=0, "", SUM(IF(INDEX(_xlfn._xlws.FILTER(#REF!,#REF!= J$5), 0, MATCH($Q$2,#REF!, 0))=$H74, 1, 0))))), "")</f>
        <v/>
      </c>
      <c r="K74" s="35" t="str" cm="1">
        <f t="array" ref="K74">IFERROR(IF(OR($H74="", K73=""), "", IF($H74=2, SUM(IF(INDEX(_xlfn._xlws.FILTER(#REF!,#REF!= K$5), 0, MATCH($Q$2,#REF!, 0))&gt;1.9, 1, 0)), IF(SUM(IF(INDEX(_xlfn._xlws.FILTER(#REF!,#REF!= K$5), 0, MATCH($Q$2,#REF!, 0))=$H74, 1, 0))=0, "", SUM(IF(INDEX(_xlfn._xlws.FILTER(#REF!,#REF!= K$5), 0, MATCH($Q$2,#REF!, 0))=$H74, 1, 0))))), "")</f>
        <v/>
      </c>
      <c r="L74" s="35" t="str" cm="1">
        <f t="array" ref="L74">IFERROR(IF(OR($H74="", L73=""), "", IF($H74=2, SUM(IF(INDEX(_xlfn._xlws.FILTER(#REF!,#REF!= L$5), 0, MATCH($Q$2,#REF!, 0))&gt;1.9, 1, 0)), IF(SUM(IF(INDEX(_xlfn._xlws.FILTER(#REF!,#REF!= L$5), 0, MATCH($Q$2,#REF!, 0))=$H74, 1, 0))=0, "", SUM(IF(INDEX(_xlfn._xlws.FILTER(#REF!,#REF!= L$5), 0, MATCH($Q$2,#REF!, 0))=$H74, 1, 0))))), "")</f>
        <v/>
      </c>
      <c r="M74" s="35" t="str" cm="1">
        <f t="array" ref="M74">IFERROR(IF(OR($H74="", M73=""), "", IF($H74=2, SUM(IF(INDEX(_xlfn._xlws.FILTER(#REF!,#REF!= M$5), 0, MATCH($Q$2,#REF!, 0))&gt;1.9, 1, 0)), IF(SUM(IF(INDEX(_xlfn._xlws.FILTER(#REF!,#REF!= M$5), 0, MATCH($Q$2,#REF!, 0))=$H74, 1, 0))=0, "", SUM(IF(INDEX(_xlfn._xlws.FILTER(#REF!,#REF!= M$5), 0, MATCH($Q$2,#REF!, 0))=$H74, 1, 0))))), "")</f>
        <v/>
      </c>
    </row>
    <row r="75" spans="1:13" x14ac:dyDescent="0.55000000000000004">
      <c r="A75" s="37"/>
      <c r="B75" s="35" t="str" cm="1">
        <f t="array" ref="B75">IF($A75="", "", IF(SUM(IF(INDEX(_xlfn._xlws.FILTER(#REF!, tblPiNAnalysis[Population Group]=B$5), 0, MATCH(_xlfn.CONCAT($Q$2, "%"), #REF!, 0))=$A75, 1, 0))=0, "",SUM(IF(INDEX(_xlfn._xlws.FILTER(#REF!, tblPiNAnalysis[Population Group]=B$5), 0, MATCH(_xlfn.CONCAT($Q$2, "%"), #REF!, 0))=$A75, 1, 0))))</f>
        <v/>
      </c>
      <c r="C75" s="35" t="str" cm="1">
        <f t="array" ref="C75">IFERROR(IF(OR($A75="", C$5=""), "", IF(SUM(IF(INDEX(_xlfn._xlws.FILTER(#REF!, tblPiNAnalysis[Population Group]=C$5), 0, MATCH(_xlfn.CONCAT($Q$2, "%"), #REF!, 0))=$A75, 1, 0))=0, "",SUM(IF(INDEX(_xlfn._xlws.FILTER(#REF!, tblPiNAnalysis[Population Group]=C$5), 0, MATCH(_xlfn.CONCAT($Q$2, "%"), #REF!, 0))=$A75, 1, 0)))), "")</f>
        <v/>
      </c>
      <c r="D75" s="35" t="str" cm="1">
        <f t="array" ref="D75">IFERROR(IF(OR($A75="", D$5=""), "", IF(SUM(IF(INDEX(_xlfn._xlws.FILTER(#REF!, tblPiNAnalysis[Population Group]=D$5), 0, MATCH(_xlfn.CONCAT($Q$2, "%"), #REF!, 0))=$A75, 1, 0))=0, "",SUM(IF(INDEX(_xlfn._xlws.FILTER(#REF!, tblPiNAnalysis[Population Group]=D$5), 0, MATCH(_xlfn.CONCAT($Q$2, "%"), #REF!, 0))=$A75, 1, 0)))), "")</f>
        <v/>
      </c>
      <c r="E75" s="35" t="str" cm="1">
        <f t="array" ref="E75">IFERROR(IF(OR($A75="", E$5=""), "", IF(SUM(IF(INDEX(_xlfn._xlws.FILTER(#REF!, tblPiNAnalysis[Population Group]=E$5), 0, MATCH(_xlfn.CONCAT($Q$2, "%"), #REF!, 0))=$A75, 1, 0))=0, "",SUM(IF(INDEX(_xlfn._xlws.FILTER(#REF!, tblPiNAnalysis[Population Group]=E$5), 0, MATCH(_xlfn.CONCAT($Q$2, "%"), #REF!, 0))=$A75, 1, 0)))), "")</f>
        <v/>
      </c>
      <c r="F75" s="35" t="str" cm="1">
        <f t="array" ref="F75">IFERROR(IF(OR($A75="", F$5=""), "", IF(SUM(IF(INDEX(_xlfn._xlws.FILTER(#REF!, tblPiNAnalysis[CCCM]=F$5), 0, MATCH(_xlfn.CONCAT($Q$2, "%"), #REF!, 0))=$A75, 1, 0))=0, "",SUM(IF(INDEX(_xlfn._xlws.FILTER(#REF!, tblPiNAnalysis[CCCM]=F$5), 0, MATCH(_xlfn.CONCAT($Q$2, "%"), #REF!, 0))=$A75, 1, 0)))), "")</f>
        <v/>
      </c>
      <c r="H75" s="37"/>
      <c r="I75" s="35" t="str" cm="1">
        <f t="array" ref="I75">IF($H75="", "", IF($H75=2, SUM(IF(INDEX(_xlfn._xlws.FILTER(#REF!,#REF!= I$5), 0, MATCH($Q$2,#REF!, 0))&gt;1.9, 1, 0)), IF(SUM(IF(INDEX(_xlfn._xlws.FILTER(#REF!,#REF!= I$5), 0, MATCH($Q$2,#REF!, 0))=$H75, 1, 0))=0, "", SUM(IF(INDEX(_xlfn._xlws.FILTER(#REF!,#REF!= I$5), 0, MATCH($Q$2,#REF!, 0))=$H75, 1, 0)))))</f>
        <v/>
      </c>
      <c r="J75" s="35" t="str" cm="1">
        <f t="array" ref="J75">IFERROR(IF(OR($H75="", J74=""), "", IF($H75=2, SUM(IF(INDEX(_xlfn._xlws.FILTER(#REF!,#REF!= J$5), 0, MATCH($Q$2,#REF!, 0))&gt;1.9, 1, 0)), IF(SUM(IF(INDEX(_xlfn._xlws.FILTER(#REF!,#REF!= J$5), 0, MATCH($Q$2,#REF!, 0))=$H75, 1, 0))=0, "", SUM(IF(INDEX(_xlfn._xlws.FILTER(#REF!,#REF!= J$5), 0, MATCH($Q$2,#REF!, 0))=$H75, 1, 0))))), "")</f>
        <v/>
      </c>
      <c r="K75" s="35" t="str" cm="1">
        <f t="array" ref="K75">IFERROR(IF(OR($H75="", K74=""), "", IF($H75=2, SUM(IF(INDEX(_xlfn._xlws.FILTER(#REF!,#REF!= K$5), 0, MATCH($Q$2,#REF!, 0))&gt;1.9, 1, 0)), IF(SUM(IF(INDEX(_xlfn._xlws.FILTER(#REF!,#REF!= K$5), 0, MATCH($Q$2,#REF!, 0))=$H75, 1, 0))=0, "", SUM(IF(INDEX(_xlfn._xlws.FILTER(#REF!,#REF!= K$5), 0, MATCH($Q$2,#REF!, 0))=$H75, 1, 0))))), "")</f>
        <v/>
      </c>
      <c r="L75" s="35" t="str" cm="1">
        <f t="array" ref="L75">IFERROR(IF(OR($H75="", L74=""), "", IF($H75=2, SUM(IF(INDEX(_xlfn._xlws.FILTER(#REF!,#REF!= L$5), 0, MATCH($Q$2,#REF!, 0))&gt;1.9, 1, 0)), IF(SUM(IF(INDEX(_xlfn._xlws.FILTER(#REF!,#REF!= L$5), 0, MATCH($Q$2,#REF!, 0))=$H75, 1, 0))=0, "", SUM(IF(INDEX(_xlfn._xlws.FILTER(#REF!,#REF!= L$5), 0, MATCH($Q$2,#REF!, 0))=$H75, 1, 0))))), "")</f>
        <v/>
      </c>
      <c r="M75" s="35" t="str" cm="1">
        <f t="array" ref="M75">IFERROR(IF(OR($H75="", M74=""), "", IF($H75=2, SUM(IF(INDEX(_xlfn._xlws.FILTER(#REF!,#REF!= M$5), 0, MATCH($Q$2,#REF!, 0))&gt;1.9, 1, 0)), IF(SUM(IF(INDEX(_xlfn._xlws.FILTER(#REF!,#REF!= M$5), 0, MATCH($Q$2,#REF!, 0))=$H75, 1, 0))=0, "", SUM(IF(INDEX(_xlfn._xlws.FILTER(#REF!,#REF!= M$5), 0, MATCH($Q$2,#REF!, 0))=$H75, 1, 0))))), "")</f>
        <v/>
      </c>
    </row>
    <row r="76" spans="1:13" x14ac:dyDescent="0.55000000000000004">
      <c r="A76" s="37"/>
      <c r="B76" s="35" t="str" cm="1">
        <f t="array" ref="B76">IF($A76="", "", IF(SUM(IF(INDEX(_xlfn._xlws.FILTER(#REF!, tblPiNAnalysis[Population Group]=B$5), 0, MATCH(_xlfn.CONCAT($Q$2, "%"), #REF!, 0))=$A76, 1, 0))=0, "",SUM(IF(INDEX(_xlfn._xlws.FILTER(#REF!, tblPiNAnalysis[Population Group]=B$5), 0, MATCH(_xlfn.CONCAT($Q$2, "%"), #REF!, 0))=$A76, 1, 0))))</f>
        <v/>
      </c>
      <c r="C76" s="35" t="str" cm="1">
        <f t="array" ref="C76">IFERROR(IF(OR($A76="", C$5=""), "", IF(SUM(IF(INDEX(_xlfn._xlws.FILTER(#REF!, tblPiNAnalysis[Population Group]=C$5), 0, MATCH(_xlfn.CONCAT($Q$2, "%"), #REF!, 0))=$A76, 1, 0))=0, "",SUM(IF(INDEX(_xlfn._xlws.FILTER(#REF!, tblPiNAnalysis[Population Group]=C$5), 0, MATCH(_xlfn.CONCAT($Q$2, "%"), #REF!, 0))=$A76, 1, 0)))), "")</f>
        <v/>
      </c>
      <c r="D76" s="35" t="str" cm="1">
        <f t="array" ref="D76">IFERROR(IF(OR($A76="", D$5=""), "", IF(SUM(IF(INDEX(_xlfn._xlws.FILTER(#REF!, tblPiNAnalysis[Population Group]=D$5), 0, MATCH(_xlfn.CONCAT($Q$2, "%"), #REF!, 0))=$A76, 1, 0))=0, "",SUM(IF(INDEX(_xlfn._xlws.FILTER(#REF!, tblPiNAnalysis[Population Group]=D$5), 0, MATCH(_xlfn.CONCAT($Q$2, "%"), #REF!, 0))=$A76, 1, 0)))), "")</f>
        <v/>
      </c>
      <c r="E76" s="35" t="str" cm="1">
        <f t="array" ref="E76">IFERROR(IF(OR($A76="", E$5=""), "", IF(SUM(IF(INDEX(_xlfn._xlws.FILTER(#REF!, tblPiNAnalysis[Population Group]=E$5), 0, MATCH(_xlfn.CONCAT($Q$2, "%"), #REF!, 0))=$A76, 1, 0))=0, "",SUM(IF(INDEX(_xlfn._xlws.FILTER(#REF!, tblPiNAnalysis[Population Group]=E$5), 0, MATCH(_xlfn.CONCAT($Q$2, "%"), #REF!, 0))=$A76, 1, 0)))), "")</f>
        <v/>
      </c>
      <c r="F76" s="35" t="str" cm="1">
        <f t="array" ref="F76">IFERROR(IF(OR($A76="", F$5=""), "", IF(SUM(IF(INDEX(_xlfn._xlws.FILTER(#REF!, tblPiNAnalysis[CCCM]=F$5), 0, MATCH(_xlfn.CONCAT($Q$2, "%"), #REF!, 0))=$A76, 1, 0))=0, "",SUM(IF(INDEX(_xlfn._xlws.FILTER(#REF!, tblPiNAnalysis[CCCM]=F$5), 0, MATCH(_xlfn.CONCAT($Q$2, "%"), #REF!, 0))=$A76, 1, 0)))), "")</f>
        <v/>
      </c>
      <c r="H76" s="37"/>
      <c r="I76" s="35" t="str" cm="1">
        <f t="array" ref="I76">IF($H76="", "", IF($H76=2, SUM(IF(INDEX(_xlfn._xlws.FILTER(#REF!,#REF!= I$5), 0, MATCH($Q$2,#REF!, 0))&gt;1.9, 1, 0)), IF(SUM(IF(INDEX(_xlfn._xlws.FILTER(#REF!,#REF!= I$5), 0, MATCH($Q$2,#REF!, 0))=$H76, 1, 0))=0, "", SUM(IF(INDEX(_xlfn._xlws.FILTER(#REF!,#REF!= I$5), 0, MATCH($Q$2,#REF!, 0))=$H76, 1, 0)))))</f>
        <v/>
      </c>
      <c r="J76" s="35" t="str" cm="1">
        <f t="array" ref="J76">IFERROR(IF(OR($H76="", J75=""), "", IF($H76=2, SUM(IF(INDEX(_xlfn._xlws.FILTER(#REF!,#REF!= J$5), 0, MATCH($Q$2,#REF!, 0))&gt;1.9, 1, 0)), IF(SUM(IF(INDEX(_xlfn._xlws.FILTER(#REF!,#REF!= J$5), 0, MATCH($Q$2,#REF!, 0))=$H76, 1, 0))=0, "", SUM(IF(INDEX(_xlfn._xlws.FILTER(#REF!,#REF!= J$5), 0, MATCH($Q$2,#REF!, 0))=$H76, 1, 0))))), "")</f>
        <v/>
      </c>
      <c r="K76" s="35" t="str" cm="1">
        <f t="array" ref="K76">IFERROR(IF(OR($H76="", K75=""), "", IF($H76=2, SUM(IF(INDEX(_xlfn._xlws.FILTER(#REF!,#REF!= K$5), 0, MATCH($Q$2,#REF!, 0))&gt;1.9, 1, 0)), IF(SUM(IF(INDEX(_xlfn._xlws.FILTER(#REF!,#REF!= K$5), 0, MATCH($Q$2,#REF!, 0))=$H76, 1, 0))=0, "", SUM(IF(INDEX(_xlfn._xlws.FILTER(#REF!,#REF!= K$5), 0, MATCH($Q$2,#REF!, 0))=$H76, 1, 0))))), "")</f>
        <v/>
      </c>
      <c r="L76" s="35" t="str" cm="1">
        <f t="array" ref="L76">IFERROR(IF(OR($H76="", L75=""), "", IF($H76=2, SUM(IF(INDEX(_xlfn._xlws.FILTER(#REF!,#REF!= L$5), 0, MATCH($Q$2,#REF!, 0))&gt;1.9, 1, 0)), IF(SUM(IF(INDEX(_xlfn._xlws.FILTER(#REF!,#REF!= L$5), 0, MATCH($Q$2,#REF!, 0))=$H76, 1, 0))=0, "", SUM(IF(INDEX(_xlfn._xlws.FILTER(#REF!,#REF!= L$5), 0, MATCH($Q$2,#REF!, 0))=$H76, 1, 0))))), "")</f>
        <v/>
      </c>
      <c r="M76" s="35" t="str" cm="1">
        <f t="array" ref="M76">IFERROR(IF(OR($H76="", M75=""), "", IF($H76=2, SUM(IF(INDEX(_xlfn._xlws.FILTER(#REF!,#REF!= M$5), 0, MATCH($Q$2,#REF!, 0))&gt;1.9, 1, 0)), IF(SUM(IF(INDEX(_xlfn._xlws.FILTER(#REF!,#REF!= M$5), 0, MATCH($Q$2,#REF!, 0))=$H76, 1, 0))=0, "", SUM(IF(INDEX(_xlfn._xlws.FILTER(#REF!,#REF!= M$5), 0, MATCH($Q$2,#REF!, 0))=$H76, 1, 0))))), "")</f>
        <v/>
      </c>
    </row>
    <row r="77" spans="1:13" x14ac:dyDescent="0.55000000000000004">
      <c r="A77" s="37"/>
      <c r="B77" s="35" t="str" cm="1">
        <f t="array" ref="B77">IF($A77="", "", IF(SUM(IF(INDEX(_xlfn._xlws.FILTER(#REF!, tblPiNAnalysis[Population Group]=B$5), 0, MATCH(_xlfn.CONCAT($Q$2, "%"), #REF!, 0))=$A77, 1, 0))=0, "",SUM(IF(INDEX(_xlfn._xlws.FILTER(#REF!, tblPiNAnalysis[Population Group]=B$5), 0, MATCH(_xlfn.CONCAT($Q$2, "%"), #REF!, 0))=$A77, 1, 0))))</f>
        <v/>
      </c>
      <c r="C77" s="35" t="str" cm="1">
        <f t="array" ref="C77">IFERROR(IF(OR($A77="", C$5=""), "", IF(SUM(IF(INDEX(_xlfn._xlws.FILTER(#REF!, tblPiNAnalysis[Population Group]=C$5), 0, MATCH(_xlfn.CONCAT($Q$2, "%"), #REF!, 0))=$A77, 1, 0))=0, "",SUM(IF(INDEX(_xlfn._xlws.FILTER(#REF!, tblPiNAnalysis[Population Group]=C$5), 0, MATCH(_xlfn.CONCAT($Q$2, "%"), #REF!, 0))=$A77, 1, 0)))), "")</f>
        <v/>
      </c>
      <c r="D77" s="35" t="str" cm="1">
        <f t="array" ref="D77">IFERROR(IF(OR($A77="", D$5=""), "", IF(SUM(IF(INDEX(_xlfn._xlws.FILTER(#REF!, tblPiNAnalysis[Population Group]=D$5), 0, MATCH(_xlfn.CONCAT($Q$2, "%"), #REF!, 0))=$A77, 1, 0))=0, "",SUM(IF(INDEX(_xlfn._xlws.FILTER(#REF!, tblPiNAnalysis[Population Group]=D$5), 0, MATCH(_xlfn.CONCAT($Q$2, "%"), #REF!, 0))=$A77, 1, 0)))), "")</f>
        <v/>
      </c>
      <c r="E77" s="35" t="str" cm="1">
        <f t="array" ref="E77">IFERROR(IF(OR($A77="", E$5=""), "", IF(SUM(IF(INDEX(_xlfn._xlws.FILTER(#REF!, tblPiNAnalysis[Population Group]=E$5), 0, MATCH(_xlfn.CONCAT($Q$2, "%"), #REF!, 0))=$A77, 1, 0))=0, "",SUM(IF(INDEX(_xlfn._xlws.FILTER(#REF!, tblPiNAnalysis[Population Group]=E$5), 0, MATCH(_xlfn.CONCAT($Q$2, "%"), #REF!, 0))=$A77, 1, 0)))), "")</f>
        <v/>
      </c>
      <c r="F77" s="35" t="str" cm="1">
        <f t="array" ref="F77">IFERROR(IF(OR($A77="", F$5=""), "", IF(SUM(IF(INDEX(_xlfn._xlws.FILTER(#REF!, tblPiNAnalysis[CCCM]=F$5), 0, MATCH(_xlfn.CONCAT($Q$2, "%"), #REF!, 0))=$A77, 1, 0))=0, "",SUM(IF(INDEX(_xlfn._xlws.FILTER(#REF!, tblPiNAnalysis[CCCM]=F$5), 0, MATCH(_xlfn.CONCAT($Q$2, "%"), #REF!, 0))=$A77, 1, 0)))), "")</f>
        <v/>
      </c>
      <c r="H77" s="37"/>
      <c r="I77" s="35" t="str" cm="1">
        <f t="array" ref="I77">IF($H77="", "", IF($H77=2, SUM(IF(INDEX(_xlfn._xlws.FILTER(#REF!,#REF!= I$5), 0, MATCH($Q$2,#REF!, 0))&gt;1.9, 1, 0)), IF(SUM(IF(INDEX(_xlfn._xlws.FILTER(#REF!,#REF!= I$5), 0, MATCH($Q$2,#REF!, 0))=$H77, 1, 0))=0, "", SUM(IF(INDEX(_xlfn._xlws.FILTER(#REF!,#REF!= I$5), 0, MATCH($Q$2,#REF!, 0))=$H77, 1, 0)))))</f>
        <v/>
      </c>
      <c r="J77" s="35" t="str" cm="1">
        <f t="array" ref="J77">IFERROR(IF(OR($H77="", J76=""), "", IF($H77=2, SUM(IF(INDEX(_xlfn._xlws.FILTER(#REF!,#REF!= J$5), 0, MATCH($Q$2,#REF!, 0))&gt;1.9, 1, 0)), IF(SUM(IF(INDEX(_xlfn._xlws.FILTER(#REF!,#REF!= J$5), 0, MATCH($Q$2,#REF!, 0))=$H77, 1, 0))=0, "", SUM(IF(INDEX(_xlfn._xlws.FILTER(#REF!,#REF!= J$5), 0, MATCH($Q$2,#REF!, 0))=$H77, 1, 0))))), "")</f>
        <v/>
      </c>
      <c r="K77" s="35" t="str" cm="1">
        <f t="array" ref="K77">IFERROR(IF(OR($H77="", K76=""), "", IF($H77=2, SUM(IF(INDEX(_xlfn._xlws.FILTER(#REF!,#REF!= K$5), 0, MATCH($Q$2,#REF!, 0))&gt;1.9, 1, 0)), IF(SUM(IF(INDEX(_xlfn._xlws.FILTER(#REF!,#REF!= K$5), 0, MATCH($Q$2,#REF!, 0))=$H77, 1, 0))=0, "", SUM(IF(INDEX(_xlfn._xlws.FILTER(#REF!,#REF!= K$5), 0, MATCH($Q$2,#REF!, 0))=$H77, 1, 0))))), "")</f>
        <v/>
      </c>
      <c r="L77" s="35" t="str" cm="1">
        <f t="array" ref="L77">IFERROR(IF(OR($H77="", L76=""), "", IF($H77=2, SUM(IF(INDEX(_xlfn._xlws.FILTER(#REF!,#REF!= L$5), 0, MATCH($Q$2,#REF!, 0))&gt;1.9, 1, 0)), IF(SUM(IF(INDEX(_xlfn._xlws.FILTER(#REF!,#REF!= L$5), 0, MATCH($Q$2,#REF!, 0))=$H77, 1, 0))=0, "", SUM(IF(INDEX(_xlfn._xlws.FILTER(#REF!,#REF!= L$5), 0, MATCH($Q$2,#REF!, 0))=$H77, 1, 0))))), "")</f>
        <v/>
      </c>
      <c r="M77" s="35" t="str" cm="1">
        <f t="array" ref="M77">IFERROR(IF(OR($H77="", M76=""), "", IF($H77=2, SUM(IF(INDEX(_xlfn._xlws.FILTER(#REF!,#REF!= M$5), 0, MATCH($Q$2,#REF!, 0))&gt;1.9, 1, 0)), IF(SUM(IF(INDEX(_xlfn._xlws.FILTER(#REF!,#REF!= M$5), 0, MATCH($Q$2,#REF!, 0))=$H77, 1, 0))=0, "", SUM(IF(INDEX(_xlfn._xlws.FILTER(#REF!,#REF!= M$5), 0, MATCH($Q$2,#REF!, 0))=$H77, 1, 0))))), "")</f>
        <v/>
      </c>
    </row>
  </sheetData>
  <phoneticPr fontId="8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442E1F-AE97-4557-AD07-F891F74C6A87}">
          <x14:formula1>
            <xm:f>'WS - 3.1 Overall PiN'!$G$3:$O$3</xm:f>
          </x14:formula1>
          <xm:sqref>Q2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3003-12C3-4852-B30E-5B980E3C4427}">
  <sheetPr codeName="Sheet7">
    <tabColor rgb="FFBDD7EE"/>
  </sheetPr>
  <dimension ref="A1:AX114"/>
  <sheetViews>
    <sheetView showGridLines="0" tabSelected="1" zoomScale="70" zoomScaleNormal="70" workbookViewId="0">
      <pane ySplit="3" topLeftCell="A4" activePane="bottomLeft" state="frozen"/>
      <selection activeCell="B1" sqref="B1"/>
      <selection pane="bottomLeft" activeCell="J22" sqref="J22"/>
    </sheetView>
  </sheetViews>
  <sheetFormatPr defaultColWidth="8.5234375" defaultRowHeight="15" customHeight="1" x14ac:dyDescent="0.55000000000000004"/>
  <cols>
    <col min="1" max="1" width="17.5234375" style="3" customWidth="1"/>
    <col min="2" max="2" width="16.7890625" style="3" customWidth="1"/>
    <col min="3" max="3" width="17.47265625" style="3" customWidth="1"/>
    <col min="4" max="4" width="17.7890625" style="3" customWidth="1"/>
    <col min="5" max="5" width="13.47265625" style="4" customWidth="1"/>
    <col min="6" max="6" width="20.15625" style="4" customWidth="1"/>
    <col min="7" max="8" width="20.47265625" style="8" customWidth="1"/>
    <col min="9" max="12" width="13.15625" style="4" customWidth="1"/>
    <col min="13" max="13" width="15.26171875" customWidth="1"/>
    <col min="14" max="14" width="13" customWidth="1"/>
    <col min="15" max="15" width="13.5234375" customWidth="1"/>
    <col min="16" max="16" width="20.5234375" style="4" customWidth="1"/>
    <col min="17" max="17" width="10.47265625" style="4" customWidth="1"/>
    <col min="18" max="18" width="12.5234375" style="4" customWidth="1"/>
    <col min="19" max="19" width="11.26171875" style="4" customWidth="1"/>
    <col min="20" max="21" width="16" customWidth="1"/>
    <col min="22" max="22" width="21.15625" style="8" customWidth="1"/>
    <col min="23" max="23" width="26.15625" customWidth="1"/>
    <col min="24" max="24" width="23.5234375" style="4" customWidth="1"/>
    <col min="25" max="25" width="19" customWidth="1"/>
    <col min="26" max="26" width="19" style="30" customWidth="1"/>
    <col min="27" max="27" width="19" style="30" hidden="1" customWidth="1"/>
    <col min="28" max="28" width="22.7890625" style="30" customWidth="1"/>
    <col min="29" max="30" width="19" style="52" customWidth="1"/>
    <col min="31" max="33" width="25.7890625" customWidth="1"/>
    <col min="34" max="34" width="38.5234375" customWidth="1"/>
    <col min="35" max="35" width="57.26171875" customWidth="1"/>
    <col min="36" max="36" width="25.47265625" customWidth="1"/>
    <col min="37" max="37" width="27.26171875" customWidth="1"/>
    <col min="38" max="38" width="22.15625" customWidth="1"/>
    <col min="39" max="39" width="16" customWidth="1"/>
    <col min="40" max="40" width="11.15625" customWidth="1"/>
    <col min="41" max="41" width="12.5234375" customWidth="1"/>
    <col min="42" max="42" width="20" bestFit="1" customWidth="1"/>
    <col min="43" max="43" width="46.15625" customWidth="1"/>
  </cols>
  <sheetData>
    <row r="1" spans="1:30" ht="49.5" customHeight="1" thickBot="1" x14ac:dyDescent="0.6">
      <c r="A1" s="152"/>
      <c r="B1" s="152"/>
      <c r="C1" s="152"/>
      <c r="D1" s="152"/>
      <c r="E1" s="152"/>
      <c r="F1" s="152"/>
      <c r="G1" s="157" t="s">
        <v>26</v>
      </c>
      <c r="H1" s="157"/>
      <c r="I1" s="157"/>
      <c r="J1" s="157"/>
      <c r="K1" s="157"/>
      <c r="L1" s="157"/>
      <c r="M1" s="157"/>
      <c r="N1" s="157"/>
      <c r="O1" s="157"/>
      <c r="P1" s="157"/>
      <c r="Q1" s="161" t="s">
        <v>27</v>
      </c>
      <c r="R1" s="161"/>
      <c r="S1" s="161"/>
      <c r="T1" s="161"/>
      <c r="U1" s="102"/>
      <c r="V1" s="7"/>
      <c r="W1" s="7"/>
      <c r="X1"/>
      <c r="Z1"/>
      <c r="AA1"/>
      <c r="AB1"/>
      <c r="AC1"/>
      <c r="AD1"/>
    </row>
    <row r="2" spans="1:30" ht="50.5" customHeight="1" thickTop="1" thickBot="1" x14ac:dyDescent="0.6">
      <c r="A2" s="162" t="s">
        <v>3</v>
      </c>
      <c r="B2" s="163"/>
      <c r="C2" s="163"/>
      <c r="D2" s="163"/>
      <c r="E2" s="155" t="s">
        <v>4</v>
      </c>
      <c r="F2" s="156"/>
      <c r="G2" s="53"/>
      <c r="H2" s="53"/>
      <c r="I2" s="54"/>
      <c r="J2" s="54"/>
      <c r="K2" s="53"/>
      <c r="L2" s="53"/>
      <c r="M2" s="54"/>
      <c r="N2" s="54"/>
      <c r="O2" s="53"/>
      <c r="P2" s="56"/>
      <c r="Q2" s="158" t="s">
        <v>28</v>
      </c>
      <c r="R2" s="159"/>
      <c r="S2" s="160"/>
      <c r="T2" s="164" t="s">
        <v>29</v>
      </c>
      <c r="U2" s="165"/>
      <c r="V2" s="153" t="s">
        <v>30</v>
      </c>
      <c r="W2" s="154"/>
      <c r="X2"/>
      <c r="Z2"/>
      <c r="AA2"/>
      <c r="AB2"/>
      <c r="AC2"/>
      <c r="AD2"/>
    </row>
    <row r="3" spans="1:30" ht="93.75" customHeight="1" thickTop="1" thickBot="1" x14ac:dyDescent="0.6">
      <c r="A3" s="18" t="s">
        <v>6</v>
      </c>
      <c r="B3" s="19" t="s">
        <v>7</v>
      </c>
      <c r="C3" s="19" t="s">
        <v>8</v>
      </c>
      <c r="D3" s="19" t="s">
        <v>9</v>
      </c>
      <c r="E3" s="71" t="s">
        <v>10</v>
      </c>
      <c r="F3" s="20" t="s">
        <v>11</v>
      </c>
      <c r="G3" s="49" t="s">
        <v>12</v>
      </c>
      <c r="H3" s="113" t="s">
        <v>2</v>
      </c>
      <c r="I3" s="50" t="s">
        <v>183</v>
      </c>
      <c r="J3" s="50" t="s">
        <v>14</v>
      </c>
      <c r="K3" s="50" t="s">
        <v>15</v>
      </c>
      <c r="L3" s="50" t="s">
        <v>13</v>
      </c>
      <c r="M3" s="50" t="s">
        <v>16</v>
      </c>
      <c r="N3" s="50" t="s">
        <v>17</v>
      </c>
      <c r="O3" s="51" t="s">
        <v>18</v>
      </c>
      <c r="P3" s="57" t="s">
        <v>31</v>
      </c>
      <c r="Q3" s="74" t="s">
        <v>32</v>
      </c>
      <c r="R3" s="75" t="s">
        <v>33</v>
      </c>
      <c r="S3" s="76" t="s">
        <v>34</v>
      </c>
      <c r="T3" s="55" t="s">
        <v>35</v>
      </c>
      <c r="U3" s="103" t="s">
        <v>36</v>
      </c>
      <c r="V3" s="72" t="s">
        <v>37</v>
      </c>
      <c r="W3" s="73" t="s">
        <v>21</v>
      </c>
      <c r="X3"/>
      <c r="Z3"/>
      <c r="AA3"/>
      <c r="AB3"/>
      <c r="AC3"/>
      <c r="AD3"/>
    </row>
    <row r="4" spans="1:30" ht="18" customHeight="1" thickTop="1" x14ac:dyDescent="0.55000000000000004">
      <c r="A4" s="13" t="s">
        <v>47</v>
      </c>
      <c r="B4" s="11" t="s">
        <v>48</v>
      </c>
      <c r="C4" s="11" t="s">
        <v>49</v>
      </c>
      <c r="D4" s="11" t="s">
        <v>50</v>
      </c>
      <c r="E4" s="38">
        <v>285016</v>
      </c>
      <c r="F4" s="14"/>
      <c r="G4" s="16">
        <v>2.3333333333333335</v>
      </c>
      <c r="H4" s="114">
        <v>3</v>
      </c>
      <c r="I4" s="10">
        <v>0</v>
      </c>
      <c r="J4" s="135">
        <v>3</v>
      </c>
      <c r="K4" s="10">
        <v>3</v>
      </c>
      <c r="L4" s="10">
        <v>2</v>
      </c>
      <c r="M4" s="10">
        <v>3</v>
      </c>
      <c r="N4" s="12">
        <v>4</v>
      </c>
      <c r="O4" s="15">
        <v>4</v>
      </c>
      <c r="P4" s="21">
        <v>3</v>
      </c>
      <c r="Q4" s="25" t="s">
        <v>189</v>
      </c>
      <c r="R4" s="10" t="s">
        <v>189</v>
      </c>
      <c r="S4" s="15" t="s">
        <v>189</v>
      </c>
      <c r="T4" s="27" t="s">
        <v>189</v>
      </c>
      <c r="U4" s="27" t="s">
        <v>189</v>
      </c>
      <c r="V4" s="17">
        <v>3</v>
      </c>
      <c r="W4" s="22"/>
      <c r="X4"/>
      <c r="Z4"/>
      <c r="AA4"/>
      <c r="AB4"/>
      <c r="AC4"/>
      <c r="AD4"/>
    </row>
    <row r="5" spans="1:30" ht="14.2" customHeight="1" x14ac:dyDescent="0.55000000000000004">
      <c r="A5" s="13" t="s">
        <v>47</v>
      </c>
      <c r="B5" s="11" t="s">
        <v>48</v>
      </c>
      <c r="C5" s="11" t="s">
        <v>51</v>
      </c>
      <c r="D5" s="11" t="s">
        <v>52</v>
      </c>
      <c r="E5" s="38">
        <v>443009</v>
      </c>
      <c r="F5" s="14"/>
      <c r="G5" s="16">
        <v>2</v>
      </c>
      <c r="H5" s="114">
        <v>3</v>
      </c>
      <c r="I5" s="10">
        <v>0</v>
      </c>
      <c r="J5" s="135">
        <v>3</v>
      </c>
      <c r="K5" s="10">
        <v>2</v>
      </c>
      <c r="L5" s="10">
        <v>2</v>
      </c>
      <c r="M5" s="10">
        <v>2</v>
      </c>
      <c r="N5" s="12">
        <v>3</v>
      </c>
      <c r="O5" s="15">
        <v>2</v>
      </c>
      <c r="P5" s="21">
        <v>2</v>
      </c>
      <c r="Q5" s="25" t="s">
        <v>189</v>
      </c>
      <c r="R5" s="10" t="s">
        <v>189</v>
      </c>
      <c r="S5" s="15" t="s">
        <v>189</v>
      </c>
      <c r="T5" s="27" t="s">
        <v>189</v>
      </c>
      <c r="U5" s="27" t="s">
        <v>189</v>
      </c>
      <c r="V5" s="17">
        <v>2</v>
      </c>
      <c r="W5" s="22"/>
      <c r="X5"/>
      <c r="Z5"/>
      <c r="AA5"/>
      <c r="AB5"/>
      <c r="AC5"/>
      <c r="AD5"/>
    </row>
    <row r="6" spans="1:30" s="90" customFormat="1" ht="14.2" customHeight="1" x14ac:dyDescent="0.55000000000000004">
      <c r="A6" s="80" t="s">
        <v>47</v>
      </c>
      <c r="B6" s="81" t="s">
        <v>48</v>
      </c>
      <c r="C6" s="81" t="s">
        <v>53</v>
      </c>
      <c r="D6" s="81" t="s">
        <v>54</v>
      </c>
      <c r="E6" s="82">
        <v>310190</v>
      </c>
      <c r="F6" s="83"/>
      <c r="G6" s="84">
        <v>2</v>
      </c>
      <c r="H6" s="115">
        <v>2</v>
      </c>
      <c r="I6" s="10">
        <v>0</v>
      </c>
      <c r="J6" s="135">
        <v>3</v>
      </c>
      <c r="K6" s="78">
        <v>2</v>
      </c>
      <c r="L6" s="78">
        <v>2</v>
      </c>
      <c r="M6" s="78">
        <v>2</v>
      </c>
      <c r="N6" s="85">
        <v>4</v>
      </c>
      <c r="O6" s="86">
        <v>1</v>
      </c>
      <c r="P6" s="21">
        <v>2</v>
      </c>
      <c r="Q6" s="87" t="s">
        <v>189</v>
      </c>
      <c r="R6" s="78" t="s">
        <v>189</v>
      </c>
      <c r="S6" s="86" t="s">
        <v>189</v>
      </c>
      <c r="T6" s="88" t="s">
        <v>189</v>
      </c>
      <c r="U6" s="88" t="s">
        <v>189</v>
      </c>
      <c r="V6" s="17">
        <v>2</v>
      </c>
      <c r="W6" s="89"/>
      <c r="Z6"/>
    </row>
    <row r="7" spans="1:30" s="90" customFormat="1" ht="14.2" customHeight="1" x14ac:dyDescent="0.55000000000000004">
      <c r="A7" s="80" t="s">
        <v>47</v>
      </c>
      <c r="B7" s="81" t="s">
        <v>48</v>
      </c>
      <c r="C7" s="81" t="s">
        <v>55</v>
      </c>
      <c r="D7" s="81" t="s">
        <v>56</v>
      </c>
      <c r="E7" s="82">
        <v>250604</v>
      </c>
      <c r="F7" s="83"/>
      <c r="G7" s="84">
        <v>2</v>
      </c>
      <c r="H7" s="115">
        <v>2</v>
      </c>
      <c r="I7" s="10">
        <v>0</v>
      </c>
      <c r="J7" s="135">
        <v>3</v>
      </c>
      <c r="K7" s="78">
        <v>2</v>
      </c>
      <c r="L7" s="78">
        <v>2</v>
      </c>
      <c r="M7" s="78">
        <v>3</v>
      </c>
      <c r="N7" s="85">
        <v>3</v>
      </c>
      <c r="O7" s="86">
        <v>3</v>
      </c>
      <c r="P7" s="21">
        <v>3</v>
      </c>
      <c r="Q7" s="87" t="s">
        <v>189</v>
      </c>
      <c r="R7" s="78" t="s">
        <v>189</v>
      </c>
      <c r="S7" s="86" t="s">
        <v>189</v>
      </c>
      <c r="T7" s="88" t="s">
        <v>189</v>
      </c>
      <c r="U7" s="88" t="s">
        <v>189</v>
      </c>
      <c r="V7" s="17">
        <v>3</v>
      </c>
      <c r="W7" s="89"/>
      <c r="Z7"/>
    </row>
    <row r="8" spans="1:30" ht="14.2" customHeight="1" x14ac:dyDescent="0.55000000000000004">
      <c r="A8" s="13" t="s">
        <v>47</v>
      </c>
      <c r="B8" s="106" t="s">
        <v>48</v>
      </c>
      <c r="C8" s="106" t="s">
        <v>57</v>
      </c>
      <c r="D8" s="11" t="s">
        <v>58</v>
      </c>
      <c r="E8" s="38">
        <v>290858</v>
      </c>
      <c r="F8" s="38"/>
      <c r="G8" s="108">
        <v>2</v>
      </c>
      <c r="H8" s="116">
        <v>3</v>
      </c>
      <c r="I8" s="10">
        <v>0</v>
      </c>
      <c r="J8" s="135">
        <v>3</v>
      </c>
      <c r="K8" s="109">
        <v>3</v>
      </c>
      <c r="L8" s="109">
        <v>2</v>
      </c>
      <c r="M8" s="109">
        <v>2</v>
      </c>
      <c r="N8" s="110">
        <v>4</v>
      </c>
      <c r="O8" s="109">
        <v>3</v>
      </c>
      <c r="P8" s="21">
        <v>3</v>
      </c>
      <c r="Q8" s="108" t="s">
        <v>189</v>
      </c>
      <c r="R8" s="15" t="s">
        <v>189</v>
      </c>
      <c r="S8" s="109" t="s">
        <v>189</v>
      </c>
      <c r="T8" s="109" t="s">
        <v>189</v>
      </c>
      <c r="U8" s="46" t="s">
        <v>189</v>
      </c>
      <c r="V8" s="17">
        <v>3</v>
      </c>
      <c r="W8" s="112"/>
      <c r="X8" s="7"/>
    </row>
    <row r="9" spans="1:30" ht="14.2" customHeight="1" x14ac:dyDescent="0.55000000000000004">
      <c r="A9" s="13" t="s">
        <v>47</v>
      </c>
      <c r="B9" s="107" t="s">
        <v>48</v>
      </c>
      <c r="C9" s="107" t="s">
        <v>59</v>
      </c>
      <c r="D9" s="11" t="s">
        <v>60</v>
      </c>
      <c r="E9" s="38">
        <v>251727</v>
      </c>
      <c r="F9" s="38"/>
      <c r="G9" s="108">
        <v>2.3333333333333335</v>
      </c>
      <c r="H9" s="116">
        <v>2</v>
      </c>
      <c r="I9" s="10">
        <v>0</v>
      </c>
      <c r="J9" s="135">
        <v>3</v>
      </c>
      <c r="K9" s="109">
        <v>3</v>
      </c>
      <c r="L9" s="109">
        <v>2</v>
      </c>
      <c r="M9" s="109">
        <v>3</v>
      </c>
      <c r="N9" s="110">
        <v>4</v>
      </c>
      <c r="O9" s="109">
        <v>3</v>
      </c>
      <c r="P9" s="21">
        <v>3</v>
      </c>
      <c r="Q9" s="108" t="s">
        <v>189</v>
      </c>
      <c r="R9" s="15" t="s">
        <v>189</v>
      </c>
      <c r="S9" s="109" t="s">
        <v>189</v>
      </c>
      <c r="T9" s="109" t="s">
        <v>189</v>
      </c>
      <c r="U9" s="46" t="s">
        <v>189</v>
      </c>
      <c r="V9" s="17">
        <v>3</v>
      </c>
      <c r="W9" s="112"/>
    </row>
    <row r="10" spans="1:30" ht="15" customHeight="1" x14ac:dyDescent="0.55000000000000004">
      <c r="A10" s="13" t="s">
        <v>47</v>
      </c>
      <c r="B10" s="107" t="s">
        <v>48</v>
      </c>
      <c r="C10" s="107" t="s">
        <v>61</v>
      </c>
      <c r="D10" s="11" t="s">
        <v>62</v>
      </c>
      <c r="E10" s="38">
        <v>304190</v>
      </c>
      <c r="F10" s="38"/>
      <c r="G10" s="108">
        <v>2.6666666666666665</v>
      </c>
      <c r="H10" s="116">
        <v>2</v>
      </c>
      <c r="I10" s="10">
        <v>0</v>
      </c>
      <c r="J10" s="135">
        <v>3</v>
      </c>
      <c r="K10" s="109">
        <v>2</v>
      </c>
      <c r="L10" s="109">
        <v>2</v>
      </c>
      <c r="M10" s="109">
        <v>2</v>
      </c>
      <c r="N10" s="110">
        <v>4</v>
      </c>
      <c r="O10" s="109">
        <v>1</v>
      </c>
      <c r="P10" s="21">
        <v>2</v>
      </c>
      <c r="Q10" s="108" t="s">
        <v>189</v>
      </c>
      <c r="R10" s="15" t="s">
        <v>189</v>
      </c>
      <c r="S10" s="109" t="s">
        <v>189</v>
      </c>
      <c r="T10" s="109" t="s">
        <v>189</v>
      </c>
      <c r="U10" s="46" t="s">
        <v>189</v>
      </c>
      <c r="V10" s="17">
        <v>2</v>
      </c>
      <c r="W10" s="112"/>
    </row>
    <row r="11" spans="1:30" ht="15" customHeight="1" x14ac:dyDescent="0.55000000000000004">
      <c r="A11" s="13" t="s">
        <v>47</v>
      </c>
      <c r="B11" s="107" t="s">
        <v>48</v>
      </c>
      <c r="C11" s="107" t="s">
        <v>63</v>
      </c>
      <c r="D11" s="11" t="s">
        <v>64</v>
      </c>
      <c r="E11" s="38">
        <v>315353</v>
      </c>
      <c r="F11" s="38"/>
      <c r="G11" s="108">
        <v>2</v>
      </c>
      <c r="H11" s="116">
        <v>2</v>
      </c>
      <c r="I11" s="10">
        <v>0</v>
      </c>
      <c r="J11" s="135">
        <v>3</v>
      </c>
      <c r="K11" s="109">
        <v>2</v>
      </c>
      <c r="L11" s="109">
        <v>2</v>
      </c>
      <c r="M11" s="109">
        <v>2</v>
      </c>
      <c r="N11" s="110">
        <v>4</v>
      </c>
      <c r="O11" s="109">
        <v>1</v>
      </c>
      <c r="P11" s="21">
        <v>2</v>
      </c>
      <c r="Q11" s="108" t="s">
        <v>189</v>
      </c>
      <c r="R11" s="15" t="s">
        <v>189</v>
      </c>
      <c r="S11" s="109" t="s">
        <v>189</v>
      </c>
      <c r="T11" s="109" t="s">
        <v>189</v>
      </c>
      <c r="U11" s="46" t="s">
        <v>189</v>
      </c>
      <c r="V11" s="17">
        <v>2</v>
      </c>
      <c r="W11" s="112"/>
    </row>
    <row r="12" spans="1:30" ht="15" customHeight="1" x14ac:dyDescent="0.55000000000000004">
      <c r="A12" s="13" t="s">
        <v>47</v>
      </c>
      <c r="B12" s="107" t="s">
        <v>48</v>
      </c>
      <c r="C12" s="107" t="s">
        <v>65</v>
      </c>
      <c r="D12" s="11" t="s">
        <v>66</v>
      </c>
      <c r="E12" s="38">
        <v>197983</v>
      </c>
      <c r="F12" s="38"/>
      <c r="G12" s="108">
        <v>2.6666666666666665</v>
      </c>
      <c r="H12" s="116">
        <v>3</v>
      </c>
      <c r="I12" s="10">
        <v>0</v>
      </c>
      <c r="J12" s="135">
        <v>3</v>
      </c>
      <c r="K12" s="109">
        <v>2</v>
      </c>
      <c r="L12" s="109">
        <v>2</v>
      </c>
      <c r="M12" s="109">
        <v>2</v>
      </c>
      <c r="N12" s="110">
        <v>4</v>
      </c>
      <c r="O12" s="109">
        <v>1</v>
      </c>
      <c r="P12" s="21">
        <v>2</v>
      </c>
      <c r="Q12" s="108" t="s">
        <v>189</v>
      </c>
      <c r="R12" s="15" t="s">
        <v>189</v>
      </c>
      <c r="S12" s="109" t="s">
        <v>189</v>
      </c>
      <c r="T12" s="109" t="s">
        <v>189</v>
      </c>
      <c r="U12" s="46" t="s">
        <v>189</v>
      </c>
      <c r="V12" s="17">
        <v>2</v>
      </c>
      <c r="W12" s="112"/>
    </row>
    <row r="13" spans="1:30" ht="15" customHeight="1" x14ac:dyDescent="0.55000000000000004">
      <c r="A13" s="13" t="s">
        <v>47</v>
      </c>
      <c r="B13" s="107" t="s">
        <v>48</v>
      </c>
      <c r="C13" s="107" t="s">
        <v>67</v>
      </c>
      <c r="D13" s="11" t="s">
        <v>68</v>
      </c>
      <c r="E13" s="38">
        <v>245471</v>
      </c>
      <c r="F13" s="38"/>
      <c r="G13" s="108">
        <v>2</v>
      </c>
      <c r="H13" s="116">
        <v>3</v>
      </c>
      <c r="I13" s="10">
        <v>0</v>
      </c>
      <c r="J13" s="135">
        <v>3</v>
      </c>
      <c r="K13" s="109">
        <v>2</v>
      </c>
      <c r="L13" s="109">
        <v>2</v>
      </c>
      <c r="M13" s="109">
        <v>4</v>
      </c>
      <c r="N13" s="110">
        <v>4</v>
      </c>
      <c r="O13" s="109">
        <v>4</v>
      </c>
      <c r="P13" s="21">
        <v>3</v>
      </c>
      <c r="Q13" s="108" t="s">
        <v>189</v>
      </c>
      <c r="R13" s="15" t="s">
        <v>189</v>
      </c>
      <c r="S13" s="109" t="s">
        <v>189</v>
      </c>
      <c r="T13" s="109" t="s">
        <v>189</v>
      </c>
      <c r="U13" s="46" t="s">
        <v>189</v>
      </c>
      <c r="V13" s="17">
        <v>3</v>
      </c>
      <c r="W13" s="112"/>
    </row>
    <row r="14" spans="1:30" ht="15" customHeight="1" x14ac:dyDescent="0.55000000000000004">
      <c r="A14" s="13" t="s">
        <v>47</v>
      </c>
      <c r="B14" s="107" t="s">
        <v>48</v>
      </c>
      <c r="C14" s="107" t="s">
        <v>69</v>
      </c>
      <c r="D14" s="11" t="s">
        <v>70</v>
      </c>
      <c r="E14" s="38">
        <v>188095</v>
      </c>
      <c r="F14" s="38"/>
      <c r="G14" s="108">
        <v>2.6666666666666665</v>
      </c>
      <c r="H14" s="116">
        <v>2</v>
      </c>
      <c r="I14" s="10">
        <v>0</v>
      </c>
      <c r="J14" s="135">
        <v>3</v>
      </c>
      <c r="K14" s="109">
        <v>2</v>
      </c>
      <c r="L14" s="109">
        <v>2</v>
      </c>
      <c r="M14" s="109">
        <v>3</v>
      </c>
      <c r="N14" s="110">
        <v>4</v>
      </c>
      <c r="O14" s="109">
        <v>1</v>
      </c>
      <c r="P14" s="21">
        <v>2</v>
      </c>
      <c r="Q14" s="108" t="s">
        <v>189</v>
      </c>
      <c r="R14" s="15" t="s">
        <v>189</v>
      </c>
      <c r="S14" s="109" t="s">
        <v>189</v>
      </c>
      <c r="T14" s="109" t="s">
        <v>189</v>
      </c>
      <c r="U14" s="46" t="s">
        <v>189</v>
      </c>
      <c r="V14" s="17">
        <v>2</v>
      </c>
      <c r="W14" s="112"/>
    </row>
    <row r="15" spans="1:30" ht="15" customHeight="1" x14ac:dyDescent="0.55000000000000004">
      <c r="A15" s="13" t="s">
        <v>47</v>
      </c>
      <c r="B15" s="107" t="s">
        <v>48</v>
      </c>
      <c r="C15" s="107" t="s">
        <v>71</v>
      </c>
      <c r="D15" s="11" t="s">
        <v>72</v>
      </c>
      <c r="E15" s="38">
        <v>313081</v>
      </c>
      <c r="F15" s="38"/>
      <c r="G15" s="108">
        <v>2.6666666666666665</v>
      </c>
      <c r="H15" s="116">
        <v>2</v>
      </c>
      <c r="I15" s="10">
        <v>0</v>
      </c>
      <c r="J15" s="135">
        <v>3</v>
      </c>
      <c r="K15" s="109">
        <v>3</v>
      </c>
      <c r="L15" s="109">
        <v>2</v>
      </c>
      <c r="M15" s="109">
        <v>2</v>
      </c>
      <c r="N15" s="110">
        <v>3</v>
      </c>
      <c r="O15" s="109">
        <v>1</v>
      </c>
      <c r="P15" s="21">
        <v>2</v>
      </c>
      <c r="Q15" s="108" t="s">
        <v>189</v>
      </c>
      <c r="R15" s="15" t="s">
        <v>189</v>
      </c>
      <c r="S15" s="109" t="s">
        <v>189</v>
      </c>
      <c r="T15" s="109" t="s">
        <v>189</v>
      </c>
      <c r="U15" s="46" t="s">
        <v>189</v>
      </c>
      <c r="V15" s="17">
        <v>2</v>
      </c>
      <c r="W15" s="112"/>
    </row>
    <row r="16" spans="1:30" ht="15" customHeight="1" x14ac:dyDescent="0.55000000000000004">
      <c r="A16" s="13" t="s">
        <v>47</v>
      </c>
      <c r="B16" s="107" t="s">
        <v>48</v>
      </c>
      <c r="C16" s="107" t="s">
        <v>73</v>
      </c>
      <c r="D16" s="11" t="s">
        <v>74</v>
      </c>
      <c r="E16" s="38">
        <v>262408</v>
      </c>
      <c r="F16" s="38"/>
      <c r="G16" s="108">
        <v>2</v>
      </c>
      <c r="H16" s="116">
        <v>3</v>
      </c>
      <c r="I16" s="10">
        <v>0</v>
      </c>
      <c r="J16" s="135">
        <v>3</v>
      </c>
      <c r="K16" s="109">
        <v>2</v>
      </c>
      <c r="L16" s="109">
        <v>2</v>
      </c>
      <c r="M16" s="109">
        <v>4</v>
      </c>
      <c r="N16" s="110">
        <v>4</v>
      </c>
      <c r="O16" s="109">
        <v>3</v>
      </c>
      <c r="P16" s="21">
        <v>3</v>
      </c>
      <c r="Q16" s="108" t="s">
        <v>189</v>
      </c>
      <c r="R16" s="15" t="s">
        <v>189</v>
      </c>
      <c r="S16" s="109" t="s">
        <v>189</v>
      </c>
      <c r="T16" s="109" t="s">
        <v>189</v>
      </c>
      <c r="U16" s="46" t="s">
        <v>189</v>
      </c>
      <c r="V16" s="17">
        <v>3</v>
      </c>
      <c r="W16" s="112"/>
    </row>
    <row r="17" spans="1:23" ht="15" customHeight="1" x14ac:dyDescent="0.55000000000000004">
      <c r="A17" s="13" t="s">
        <v>47</v>
      </c>
      <c r="B17" s="107" t="s">
        <v>48</v>
      </c>
      <c r="C17" s="107" t="s">
        <v>75</v>
      </c>
      <c r="D17" s="11" t="s">
        <v>76</v>
      </c>
      <c r="E17" s="38">
        <v>292264</v>
      </c>
      <c r="F17" s="38"/>
      <c r="G17" s="108">
        <v>2.6666666666666665</v>
      </c>
      <c r="H17" s="116">
        <v>2</v>
      </c>
      <c r="I17" s="10">
        <v>0</v>
      </c>
      <c r="J17" s="135">
        <v>3</v>
      </c>
      <c r="K17" s="109">
        <v>2</v>
      </c>
      <c r="L17" s="109">
        <v>2</v>
      </c>
      <c r="M17" s="109">
        <v>4</v>
      </c>
      <c r="N17" s="110">
        <v>4</v>
      </c>
      <c r="O17" s="109">
        <v>3</v>
      </c>
      <c r="P17" s="21">
        <v>3</v>
      </c>
      <c r="Q17" s="108" t="s">
        <v>189</v>
      </c>
      <c r="R17" s="15" t="s">
        <v>189</v>
      </c>
      <c r="S17" s="109" t="s">
        <v>189</v>
      </c>
      <c r="T17" s="109" t="s">
        <v>189</v>
      </c>
      <c r="U17" s="46" t="s">
        <v>189</v>
      </c>
      <c r="V17" s="17">
        <v>3</v>
      </c>
      <c r="W17" s="112"/>
    </row>
    <row r="18" spans="1:23" ht="15" customHeight="1" x14ac:dyDescent="0.55000000000000004">
      <c r="A18" s="13" t="s">
        <v>47</v>
      </c>
      <c r="B18" s="107" t="s">
        <v>48</v>
      </c>
      <c r="C18" s="107" t="s">
        <v>77</v>
      </c>
      <c r="D18" s="11" t="s">
        <v>78</v>
      </c>
      <c r="E18" s="38">
        <v>266030</v>
      </c>
      <c r="F18" s="38"/>
      <c r="G18" s="108">
        <v>2.6666666666666665</v>
      </c>
      <c r="H18" s="116">
        <v>3</v>
      </c>
      <c r="I18" s="10">
        <v>0</v>
      </c>
      <c r="J18" s="135">
        <v>3</v>
      </c>
      <c r="K18" s="109">
        <v>2</v>
      </c>
      <c r="L18" s="109">
        <v>2</v>
      </c>
      <c r="M18" s="109">
        <v>4</v>
      </c>
      <c r="N18" s="110">
        <v>4</v>
      </c>
      <c r="O18" s="109">
        <v>4</v>
      </c>
      <c r="P18" s="21">
        <v>3</v>
      </c>
      <c r="Q18" s="108" t="s">
        <v>189</v>
      </c>
      <c r="R18" s="15" t="s">
        <v>189</v>
      </c>
      <c r="S18" s="109" t="s">
        <v>189</v>
      </c>
      <c r="T18" s="109" t="s">
        <v>189</v>
      </c>
      <c r="U18" s="46" t="s">
        <v>189</v>
      </c>
      <c r="V18" s="17">
        <v>3</v>
      </c>
      <c r="W18" s="112"/>
    </row>
    <row r="19" spans="1:23" ht="15" customHeight="1" x14ac:dyDescent="0.55000000000000004">
      <c r="A19" s="13" t="s">
        <v>47</v>
      </c>
      <c r="B19" s="107" t="s">
        <v>48</v>
      </c>
      <c r="C19" s="107" t="s">
        <v>79</v>
      </c>
      <c r="D19" s="11" t="s">
        <v>80</v>
      </c>
      <c r="E19" s="38">
        <v>165015</v>
      </c>
      <c r="F19" s="38"/>
      <c r="G19" s="108">
        <v>2.3333333333333335</v>
      </c>
      <c r="H19" s="116">
        <v>2</v>
      </c>
      <c r="I19" s="10">
        <v>0</v>
      </c>
      <c r="J19" s="135">
        <v>3</v>
      </c>
      <c r="K19" s="109">
        <v>2</v>
      </c>
      <c r="L19" s="109">
        <v>2</v>
      </c>
      <c r="M19" s="109">
        <v>3</v>
      </c>
      <c r="N19" s="110">
        <v>4</v>
      </c>
      <c r="O19" s="109">
        <v>4</v>
      </c>
      <c r="P19" s="21">
        <v>3</v>
      </c>
      <c r="Q19" s="108" t="s">
        <v>189</v>
      </c>
      <c r="R19" s="15" t="s">
        <v>189</v>
      </c>
      <c r="S19" s="109" t="s">
        <v>189</v>
      </c>
      <c r="T19" s="109" t="s">
        <v>189</v>
      </c>
      <c r="U19" s="46" t="s">
        <v>189</v>
      </c>
      <c r="V19" s="17">
        <v>3</v>
      </c>
      <c r="W19" s="112"/>
    </row>
    <row r="20" spans="1:23" ht="15" customHeight="1" x14ac:dyDescent="0.55000000000000004">
      <c r="A20" s="13" t="s">
        <v>47</v>
      </c>
      <c r="B20" s="107" t="s">
        <v>48</v>
      </c>
      <c r="C20" s="107" t="s">
        <v>81</v>
      </c>
      <c r="D20" s="11" t="s">
        <v>82</v>
      </c>
      <c r="E20" s="38">
        <v>248189</v>
      </c>
      <c r="F20" s="38"/>
      <c r="G20" s="108">
        <v>2.6666666666666665</v>
      </c>
      <c r="H20" s="116">
        <v>3</v>
      </c>
      <c r="I20" s="10">
        <v>0</v>
      </c>
      <c r="J20" s="135">
        <v>3</v>
      </c>
      <c r="K20" s="109">
        <v>2</v>
      </c>
      <c r="L20" s="109">
        <v>2</v>
      </c>
      <c r="M20" s="109">
        <v>2</v>
      </c>
      <c r="N20" s="110">
        <v>4</v>
      </c>
      <c r="O20" s="109">
        <v>1</v>
      </c>
      <c r="P20" s="21">
        <v>2</v>
      </c>
      <c r="Q20" s="108" t="s">
        <v>189</v>
      </c>
      <c r="R20" s="15" t="s">
        <v>189</v>
      </c>
      <c r="S20" s="109" t="s">
        <v>189</v>
      </c>
      <c r="T20" s="109" t="s">
        <v>189</v>
      </c>
      <c r="U20" s="46" t="s">
        <v>189</v>
      </c>
      <c r="V20" s="17">
        <v>2</v>
      </c>
      <c r="W20" s="112"/>
    </row>
    <row r="21" spans="1:23" ht="15" customHeight="1" x14ac:dyDescent="0.55000000000000004">
      <c r="A21" s="13" t="s">
        <v>47</v>
      </c>
      <c r="B21" s="107" t="s">
        <v>48</v>
      </c>
      <c r="C21" s="107" t="s">
        <v>83</v>
      </c>
      <c r="D21" s="11" t="s">
        <v>84</v>
      </c>
      <c r="E21" s="38">
        <v>381422</v>
      </c>
      <c r="F21" s="38"/>
      <c r="G21" s="108">
        <v>2.3333333333333335</v>
      </c>
      <c r="H21" s="116">
        <v>2</v>
      </c>
      <c r="I21" s="10">
        <v>0</v>
      </c>
      <c r="J21" s="135">
        <v>3</v>
      </c>
      <c r="K21" s="109">
        <v>3</v>
      </c>
      <c r="L21" s="109">
        <v>2</v>
      </c>
      <c r="M21" s="109">
        <v>3</v>
      </c>
      <c r="N21" s="110">
        <v>4</v>
      </c>
      <c r="O21" s="109">
        <v>3</v>
      </c>
      <c r="P21" s="21">
        <v>3</v>
      </c>
      <c r="Q21" s="108" t="s">
        <v>189</v>
      </c>
      <c r="R21" s="15" t="s">
        <v>189</v>
      </c>
      <c r="S21" s="109" t="s">
        <v>189</v>
      </c>
      <c r="T21" s="109" t="s">
        <v>189</v>
      </c>
      <c r="U21" s="46" t="s">
        <v>189</v>
      </c>
      <c r="V21" s="17">
        <v>3</v>
      </c>
      <c r="W21" s="112"/>
    </row>
    <row r="22" spans="1:23" ht="15" customHeight="1" x14ac:dyDescent="0.55000000000000004">
      <c r="A22" s="13" t="s">
        <v>47</v>
      </c>
      <c r="B22" s="107" t="s">
        <v>48</v>
      </c>
      <c r="C22" s="107" t="s">
        <v>85</v>
      </c>
      <c r="D22" s="11" t="s">
        <v>86</v>
      </c>
      <c r="E22" s="38">
        <v>101975</v>
      </c>
      <c r="F22" s="38"/>
      <c r="G22" s="108">
        <v>2</v>
      </c>
      <c r="H22" s="116">
        <v>2</v>
      </c>
      <c r="I22" s="10">
        <v>0</v>
      </c>
      <c r="J22" s="135">
        <v>2</v>
      </c>
      <c r="K22" s="109">
        <v>3</v>
      </c>
      <c r="L22" s="109">
        <v>2</v>
      </c>
      <c r="M22" s="109">
        <v>2</v>
      </c>
      <c r="N22" s="110">
        <v>4</v>
      </c>
      <c r="O22" s="109">
        <v>1</v>
      </c>
      <c r="P22" s="21">
        <v>2</v>
      </c>
      <c r="Q22" s="108" t="s">
        <v>189</v>
      </c>
      <c r="R22" s="15" t="s">
        <v>189</v>
      </c>
      <c r="S22" s="109" t="s">
        <v>189</v>
      </c>
      <c r="T22" s="109" t="s">
        <v>189</v>
      </c>
      <c r="U22" s="46" t="s">
        <v>189</v>
      </c>
      <c r="V22" s="17">
        <v>2</v>
      </c>
      <c r="W22" s="112"/>
    </row>
    <row r="23" spans="1:23" ht="15" customHeight="1" x14ac:dyDescent="0.55000000000000004">
      <c r="A23" s="13" t="s">
        <v>47</v>
      </c>
      <c r="B23" s="107" t="s">
        <v>48</v>
      </c>
      <c r="C23" s="107" t="s">
        <v>87</v>
      </c>
      <c r="D23" s="11" t="s">
        <v>88</v>
      </c>
      <c r="E23" s="38">
        <v>323370</v>
      </c>
      <c r="F23" s="38"/>
      <c r="G23" s="108">
        <v>2</v>
      </c>
      <c r="H23" s="116">
        <v>2</v>
      </c>
      <c r="I23" s="10">
        <v>0</v>
      </c>
      <c r="J23" s="135">
        <v>3</v>
      </c>
      <c r="K23" s="109">
        <v>3</v>
      </c>
      <c r="L23" s="109">
        <v>2</v>
      </c>
      <c r="M23" s="109">
        <v>2</v>
      </c>
      <c r="N23" s="110">
        <v>4</v>
      </c>
      <c r="O23" s="109">
        <v>2</v>
      </c>
      <c r="P23" s="21">
        <v>2</v>
      </c>
      <c r="Q23" s="108" t="s">
        <v>189</v>
      </c>
      <c r="R23" s="15" t="s">
        <v>189</v>
      </c>
      <c r="S23" s="109" t="s">
        <v>189</v>
      </c>
      <c r="T23" s="109" t="s">
        <v>189</v>
      </c>
      <c r="U23" s="46" t="s">
        <v>189</v>
      </c>
      <c r="V23" s="17">
        <v>2</v>
      </c>
      <c r="W23" s="112"/>
    </row>
    <row r="24" spans="1:23" ht="15" customHeight="1" x14ac:dyDescent="0.55000000000000004">
      <c r="A24" s="13" t="s">
        <v>47</v>
      </c>
      <c r="B24" s="107" t="s">
        <v>48</v>
      </c>
      <c r="C24" s="107" t="s">
        <v>89</v>
      </c>
      <c r="D24" s="11" t="s">
        <v>90</v>
      </c>
      <c r="E24" s="38">
        <v>570233</v>
      </c>
      <c r="F24" s="38"/>
      <c r="G24" s="108">
        <v>2.6666666666666665</v>
      </c>
      <c r="H24" s="116">
        <v>3</v>
      </c>
      <c r="I24" s="10">
        <v>0</v>
      </c>
      <c r="J24" s="135">
        <v>2</v>
      </c>
      <c r="K24" s="109">
        <v>2</v>
      </c>
      <c r="L24" s="109">
        <v>2</v>
      </c>
      <c r="M24" s="109">
        <v>3</v>
      </c>
      <c r="N24" s="110">
        <v>4</v>
      </c>
      <c r="O24" s="109">
        <v>2</v>
      </c>
      <c r="P24" s="21">
        <v>2</v>
      </c>
      <c r="Q24" s="108" t="s">
        <v>189</v>
      </c>
      <c r="R24" s="15" t="s">
        <v>189</v>
      </c>
      <c r="S24" s="109" t="s">
        <v>189</v>
      </c>
      <c r="T24" s="109" t="s">
        <v>189</v>
      </c>
      <c r="U24" s="46" t="s">
        <v>189</v>
      </c>
      <c r="V24" s="17">
        <v>2</v>
      </c>
      <c r="W24" s="112"/>
    </row>
    <row r="25" spans="1:23" ht="15" customHeight="1" x14ac:dyDescent="0.55000000000000004">
      <c r="A25" s="131" t="s">
        <v>91</v>
      </c>
      <c r="B25" s="132" t="s">
        <v>92</v>
      </c>
      <c r="C25" s="132" t="s">
        <v>93</v>
      </c>
      <c r="D25" s="133" t="s">
        <v>94</v>
      </c>
      <c r="E25" s="134">
        <v>80385</v>
      </c>
      <c r="F25" s="38"/>
      <c r="G25" s="108">
        <v>0</v>
      </c>
      <c r="H25" s="116">
        <v>3</v>
      </c>
      <c r="I25" s="10">
        <v>0</v>
      </c>
      <c r="J25" s="135"/>
      <c r="K25" s="109">
        <v>3</v>
      </c>
      <c r="L25" s="109">
        <v>1</v>
      </c>
      <c r="M25" s="109">
        <v>3</v>
      </c>
      <c r="N25" s="110">
        <v>1</v>
      </c>
      <c r="O25" s="109">
        <v>1</v>
      </c>
      <c r="P25" s="21">
        <v>2</v>
      </c>
      <c r="Q25" s="108" t="s">
        <v>189</v>
      </c>
      <c r="R25" s="15" t="s">
        <v>189</v>
      </c>
      <c r="S25" s="109" t="s">
        <v>189</v>
      </c>
      <c r="T25" s="109" t="s">
        <v>189</v>
      </c>
      <c r="U25" s="46" t="s">
        <v>189</v>
      </c>
      <c r="V25" s="17">
        <v>2</v>
      </c>
      <c r="W25" s="112"/>
    </row>
    <row r="26" spans="1:23" ht="15" customHeight="1" x14ac:dyDescent="0.55000000000000004">
      <c r="A26" s="13" t="s">
        <v>91</v>
      </c>
      <c r="B26" s="107" t="s">
        <v>92</v>
      </c>
      <c r="C26" s="107" t="s">
        <v>95</v>
      </c>
      <c r="D26" s="11" t="s">
        <v>96</v>
      </c>
      <c r="E26" s="38">
        <v>245197</v>
      </c>
      <c r="F26" s="38"/>
      <c r="G26" s="108">
        <v>2</v>
      </c>
      <c r="H26" s="116">
        <v>2</v>
      </c>
      <c r="I26" s="10">
        <v>0</v>
      </c>
      <c r="J26" s="135">
        <v>2</v>
      </c>
      <c r="K26" s="109">
        <v>3</v>
      </c>
      <c r="L26" s="109">
        <v>2</v>
      </c>
      <c r="M26" s="109">
        <v>3</v>
      </c>
      <c r="N26" s="110">
        <v>4</v>
      </c>
      <c r="O26" s="109">
        <v>1</v>
      </c>
      <c r="P26" s="21">
        <v>2</v>
      </c>
      <c r="Q26" s="108" t="s">
        <v>189</v>
      </c>
      <c r="R26" s="15" t="s">
        <v>189</v>
      </c>
      <c r="S26" s="109" t="s">
        <v>189</v>
      </c>
      <c r="T26" s="109" t="s">
        <v>189</v>
      </c>
      <c r="U26" s="46" t="s">
        <v>189</v>
      </c>
      <c r="V26" s="17">
        <v>2</v>
      </c>
      <c r="W26" s="112"/>
    </row>
    <row r="27" spans="1:23" ht="15" customHeight="1" x14ac:dyDescent="0.55000000000000004">
      <c r="A27" s="13" t="s">
        <v>91</v>
      </c>
      <c r="B27" s="107" t="s">
        <v>92</v>
      </c>
      <c r="C27" s="107" t="s">
        <v>97</v>
      </c>
      <c r="D27" s="11" t="s">
        <v>98</v>
      </c>
      <c r="E27" s="38">
        <v>233112</v>
      </c>
      <c r="F27" s="38"/>
      <c r="G27" s="108">
        <v>2.3333333333333335</v>
      </c>
      <c r="H27" s="116">
        <v>4</v>
      </c>
      <c r="I27" s="10">
        <v>0</v>
      </c>
      <c r="J27" s="135">
        <v>3</v>
      </c>
      <c r="K27" s="109">
        <v>3</v>
      </c>
      <c r="L27" s="109">
        <v>3</v>
      </c>
      <c r="M27" s="109">
        <v>4</v>
      </c>
      <c r="N27" s="110">
        <v>3</v>
      </c>
      <c r="O27" s="109">
        <v>4</v>
      </c>
      <c r="P27" s="21">
        <v>3</v>
      </c>
      <c r="Q27" s="108" t="s">
        <v>189</v>
      </c>
      <c r="R27" s="15" t="s">
        <v>189</v>
      </c>
      <c r="S27" s="109" t="s">
        <v>189</v>
      </c>
      <c r="T27" s="109" t="s">
        <v>189</v>
      </c>
      <c r="U27" s="46" t="s">
        <v>189</v>
      </c>
      <c r="V27" s="17">
        <v>3</v>
      </c>
      <c r="W27" s="112"/>
    </row>
    <row r="28" spans="1:23" ht="15" customHeight="1" x14ac:dyDescent="0.55000000000000004">
      <c r="A28" s="13" t="s">
        <v>91</v>
      </c>
      <c r="B28" s="107" t="s">
        <v>92</v>
      </c>
      <c r="C28" s="107" t="s">
        <v>99</v>
      </c>
      <c r="D28" s="11" t="s">
        <v>100</v>
      </c>
      <c r="E28" s="38">
        <v>234872</v>
      </c>
      <c r="F28" s="38"/>
      <c r="G28" s="108">
        <v>1.6666666666666667</v>
      </c>
      <c r="H28" s="116">
        <v>2</v>
      </c>
      <c r="I28" s="10">
        <v>0</v>
      </c>
      <c r="J28" s="135">
        <v>3</v>
      </c>
      <c r="K28" s="109">
        <v>2</v>
      </c>
      <c r="L28" s="109">
        <v>3</v>
      </c>
      <c r="M28" s="109">
        <v>2</v>
      </c>
      <c r="N28" s="110">
        <v>4</v>
      </c>
      <c r="O28" s="109">
        <v>1</v>
      </c>
      <c r="P28" s="21">
        <v>2</v>
      </c>
      <c r="Q28" s="108" t="s">
        <v>189</v>
      </c>
      <c r="R28" s="15" t="s">
        <v>189</v>
      </c>
      <c r="S28" s="109" t="s">
        <v>189</v>
      </c>
      <c r="T28" s="109" t="s">
        <v>189</v>
      </c>
      <c r="U28" s="46" t="s">
        <v>189</v>
      </c>
      <c r="V28" s="17">
        <v>2</v>
      </c>
      <c r="W28" s="112"/>
    </row>
    <row r="29" spans="1:23" ht="15" customHeight="1" x14ac:dyDescent="0.55000000000000004">
      <c r="A29" s="13" t="s">
        <v>91</v>
      </c>
      <c r="B29" s="107" t="s">
        <v>92</v>
      </c>
      <c r="C29" s="107" t="s">
        <v>101</v>
      </c>
      <c r="D29" s="11" t="s">
        <v>102</v>
      </c>
      <c r="E29" s="38">
        <v>450926</v>
      </c>
      <c r="F29" s="38"/>
      <c r="G29" s="108">
        <v>2</v>
      </c>
      <c r="H29" s="116">
        <v>2</v>
      </c>
      <c r="I29" s="10">
        <v>0</v>
      </c>
      <c r="J29" s="135">
        <v>3</v>
      </c>
      <c r="K29" s="109">
        <v>2</v>
      </c>
      <c r="L29" s="109">
        <v>3</v>
      </c>
      <c r="M29" s="109">
        <v>3</v>
      </c>
      <c r="N29" s="110">
        <v>4</v>
      </c>
      <c r="O29" s="109">
        <v>3</v>
      </c>
      <c r="P29" s="21">
        <v>3</v>
      </c>
      <c r="Q29" s="108" t="s">
        <v>189</v>
      </c>
      <c r="R29" s="15" t="s">
        <v>189</v>
      </c>
      <c r="S29" s="109" t="s">
        <v>189</v>
      </c>
      <c r="T29" s="109" t="s">
        <v>189</v>
      </c>
      <c r="U29" s="46" t="s">
        <v>189</v>
      </c>
      <c r="V29" s="17">
        <v>3</v>
      </c>
      <c r="W29" s="112"/>
    </row>
    <row r="30" spans="1:23" ht="15" customHeight="1" x14ac:dyDescent="0.55000000000000004">
      <c r="A30" s="13" t="s">
        <v>91</v>
      </c>
      <c r="B30" s="107" t="s">
        <v>92</v>
      </c>
      <c r="C30" s="107" t="s">
        <v>103</v>
      </c>
      <c r="D30" s="11" t="s">
        <v>104</v>
      </c>
      <c r="E30" s="38">
        <v>110736</v>
      </c>
      <c r="F30" s="38"/>
      <c r="G30" s="108">
        <v>2</v>
      </c>
      <c r="H30" s="116">
        <v>3</v>
      </c>
      <c r="I30" s="10">
        <v>0</v>
      </c>
      <c r="J30" s="135">
        <v>3</v>
      </c>
      <c r="K30" s="109">
        <v>3</v>
      </c>
      <c r="L30" s="109">
        <v>3</v>
      </c>
      <c r="M30" s="109">
        <v>2</v>
      </c>
      <c r="N30" s="110">
        <v>4</v>
      </c>
      <c r="O30" s="109">
        <v>1</v>
      </c>
      <c r="P30" s="21">
        <v>3</v>
      </c>
      <c r="Q30" s="108" t="s">
        <v>189</v>
      </c>
      <c r="R30" s="15" t="s">
        <v>189</v>
      </c>
      <c r="S30" s="109" t="s">
        <v>189</v>
      </c>
      <c r="T30" s="109" t="s">
        <v>189</v>
      </c>
      <c r="U30" s="46" t="s">
        <v>189</v>
      </c>
      <c r="V30" s="17">
        <v>3</v>
      </c>
      <c r="W30" s="112"/>
    </row>
    <row r="31" spans="1:23" ht="15" customHeight="1" x14ac:dyDescent="0.55000000000000004">
      <c r="A31" s="13" t="s">
        <v>91</v>
      </c>
      <c r="B31" s="107" t="s">
        <v>92</v>
      </c>
      <c r="C31" s="107" t="s">
        <v>105</v>
      </c>
      <c r="D31" s="11" t="s">
        <v>106</v>
      </c>
      <c r="E31" s="38">
        <v>176533</v>
      </c>
      <c r="F31" s="38"/>
      <c r="G31" s="108">
        <v>2.3333333333333335</v>
      </c>
      <c r="H31" s="116">
        <v>4</v>
      </c>
      <c r="I31" s="10">
        <v>0</v>
      </c>
      <c r="J31" s="135">
        <v>3</v>
      </c>
      <c r="K31" s="109">
        <v>3</v>
      </c>
      <c r="L31" s="109">
        <v>4</v>
      </c>
      <c r="M31" s="109">
        <v>4</v>
      </c>
      <c r="N31" s="110">
        <v>4</v>
      </c>
      <c r="O31" s="109">
        <v>3</v>
      </c>
      <c r="P31" s="21">
        <v>4</v>
      </c>
      <c r="Q31" s="108" t="s">
        <v>189</v>
      </c>
      <c r="R31" s="15" t="s">
        <v>189</v>
      </c>
      <c r="S31" s="109" t="s">
        <v>189</v>
      </c>
      <c r="T31" s="109" t="s">
        <v>189</v>
      </c>
      <c r="U31" s="46" t="s">
        <v>189</v>
      </c>
      <c r="V31" s="17">
        <v>3</v>
      </c>
      <c r="W31" s="112"/>
    </row>
    <row r="32" spans="1:23" ht="15" customHeight="1" x14ac:dyDescent="0.55000000000000004">
      <c r="A32" s="13" t="s">
        <v>91</v>
      </c>
      <c r="B32" s="107" t="s">
        <v>92</v>
      </c>
      <c r="C32" s="136" t="s">
        <v>107</v>
      </c>
      <c r="D32" s="11" t="s">
        <v>108</v>
      </c>
      <c r="E32" s="38">
        <v>139920</v>
      </c>
      <c r="F32" s="38"/>
      <c r="G32" s="108">
        <v>2.3333333333333335</v>
      </c>
      <c r="H32" s="116">
        <v>3</v>
      </c>
      <c r="I32" s="10">
        <v>0</v>
      </c>
      <c r="J32" s="135">
        <v>4</v>
      </c>
      <c r="K32" s="109">
        <v>3</v>
      </c>
      <c r="L32" s="109">
        <v>3</v>
      </c>
      <c r="M32" s="109">
        <v>4</v>
      </c>
      <c r="N32" s="110">
        <v>4</v>
      </c>
      <c r="O32" s="109">
        <v>4</v>
      </c>
      <c r="P32" s="21">
        <v>4</v>
      </c>
      <c r="Q32" s="108" t="s">
        <v>189</v>
      </c>
      <c r="R32" s="15" t="s">
        <v>189</v>
      </c>
      <c r="S32" s="109" t="s">
        <v>189</v>
      </c>
      <c r="T32" s="109" t="s">
        <v>189</v>
      </c>
      <c r="U32" s="46" t="s">
        <v>189</v>
      </c>
      <c r="V32" s="17">
        <v>4</v>
      </c>
      <c r="W32" s="112"/>
    </row>
    <row r="33" spans="1:23" ht="15" customHeight="1" x14ac:dyDescent="0.55000000000000004">
      <c r="A33" s="13" t="s">
        <v>91</v>
      </c>
      <c r="B33" s="107" t="s">
        <v>92</v>
      </c>
      <c r="C33" s="136" t="s">
        <v>109</v>
      </c>
      <c r="D33" s="11" t="s">
        <v>110</v>
      </c>
      <c r="E33" s="38">
        <v>206460</v>
      </c>
      <c r="F33" s="38"/>
      <c r="G33" s="108">
        <v>2</v>
      </c>
      <c r="H33" s="116">
        <v>2</v>
      </c>
      <c r="I33" s="10">
        <v>0</v>
      </c>
      <c r="J33" s="135">
        <v>3</v>
      </c>
      <c r="K33" s="109">
        <v>4</v>
      </c>
      <c r="L33" s="109">
        <v>4</v>
      </c>
      <c r="M33" s="109">
        <v>4</v>
      </c>
      <c r="N33" s="110">
        <v>4</v>
      </c>
      <c r="O33" s="109">
        <v>4</v>
      </c>
      <c r="P33" s="21">
        <v>4</v>
      </c>
      <c r="Q33" s="108" t="s">
        <v>189</v>
      </c>
      <c r="R33" s="15" t="s">
        <v>189</v>
      </c>
      <c r="S33" s="109" t="s">
        <v>189</v>
      </c>
      <c r="T33" s="109" t="s">
        <v>189</v>
      </c>
      <c r="U33" s="46" t="s">
        <v>189</v>
      </c>
      <c r="V33" s="17">
        <v>4</v>
      </c>
      <c r="W33" s="112"/>
    </row>
    <row r="34" spans="1:23" ht="15" customHeight="1" x14ac:dyDescent="0.55000000000000004">
      <c r="A34" s="131" t="s">
        <v>91</v>
      </c>
      <c r="B34" s="132" t="s">
        <v>92</v>
      </c>
      <c r="C34" s="132" t="s">
        <v>111</v>
      </c>
      <c r="D34" s="133" t="s">
        <v>112</v>
      </c>
      <c r="E34" s="134">
        <v>62747</v>
      </c>
      <c r="F34" s="38"/>
      <c r="G34" s="108">
        <v>0</v>
      </c>
      <c r="H34" s="116">
        <v>3</v>
      </c>
      <c r="I34" s="10">
        <v>0</v>
      </c>
      <c r="J34" s="135"/>
      <c r="K34" s="109">
        <v>3</v>
      </c>
      <c r="L34" s="109">
        <v>1</v>
      </c>
      <c r="M34" s="109">
        <v>3</v>
      </c>
      <c r="N34" s="110">
        <v>4</v>
      </c>
      <c r="O34" s="109">
        <v>3</v>
      </c>
      <c r="P34" s="21">
        <v>3</v>
      </c>
      <c r="Q34" s="108" t="s">
        <v>189</v>
      </c>
      <c r="R34" s="15" t="s">
        <v>189</v>
      </c>
      <c r="S34" s="109" t="s">
        <v>189</v>
      </c>
      <c r="T34" s="109" t="s">
        <v>189</v>
      </c>
      <c r="U34" s="46" t="s">
        <v>189</v>
      </c>
      <c r="V34" s="17">
        <v>3</v>
      </c>
      <c r="W34" s="112"/>
    </row>
    <row r="35" spans="1:23" ht="15" customHeight="1" x14ac:dyDescent="0.55000000000000004">
      <c r="A35" s="13" t="s">
        <v>91</v>
      </c>
      <c r="B35" s="107" t="s">
        <v>92</v>
      </c>
      <c r="C35" s="107" t="s">
        <v>113</v>
      </c>
      <c r="D35" s="11" t="s">
        <v>114</v>
      </c>
      <c r="E35" s="38">
        <v>267125</v>
      </c>
      <c r="F35" s="38"/>
      <c r="G35" s="108">
        <v>2.3333333333333335</v>
      </c>
      <c r="H35" s="116">
        <v>3</v>
      </c>
      <c r="I35" s="10">
        <v>0</v>
      </c>
      <c r="J35" s="135">
        <v>3</v>
      </c>
      <c r="K35" s="109">
        <v>3</v>
      </c>
      <c r="L35" s="109">
        <v>3</v>
      </c>
      <c r="M35" s="109">
        <v>4</v>
      </c>
      <c r="N35" s="110">
        <v>4</v>
      </c>
      <c r="O35" s="109">
        <v>3</v>
      </c>
      <c r="P35" s="21">
        <v>3</v>
      </c>
      <c r="Q35" s="108" t="s">
        <v>189</v>
      </c>
      <c r="R35" s="15" t="s">
        <v>189</v>
      </c>
      <c r="S35" s="109" t="s">
        <v>189</v>
      </c>
      <c r="T35" s="109" t="s">
        <v>189</v>
      </c>
      <c r="U35" s="46" t="s">
        <v>189</v>
      </c>
      <c r="V35" s="17">
        <v>3</v>
      </c>
      <c r="W35" s="112"/>
    </row>
    <row r="36" spans="1:23" ht="15" customHeight="1" x14ac:dyDescent="0.55000000000000004">
      <c r="A36" s="13" t="s">
        <v>91</v>
      </c>
      <c r="B36" s="107" t="s">
        <v>92</v>
      </c>
      <c r="C36" s="107" t="s">
        <v>115</v>
      </c>
      <c r="D36" s="11" t="s">
        <v>116</v>
      </c>
      <c r="E36" s="38">
        <v>253981</v>
      </c>
      <c r="F36" s="38"/>
      <c r="G36" s="108">
        <v>2</v>
      </c>
      <c r="H36" s="116">
        <v>2</v>
      </c>
      <c r="I36" s="10">
        <v>0</v>
      </c>
      <c r="J36" s="135">
        <v>3</v>
      </c>
      <c r="K36" s="109">
        <v>2</v>
      </c>
      <c r="L36" s="109">
        <v>2</v>
      </c>
      <c r="M36" s="109">
        <v>2</v>
      </c>
      <c r="N36" s="110">
        <v>4</v>
      </c>
      <c r="O36" s="109">
        <v>4</v>
      </c>
      <c r="P36" s="21">
        <v>2</v>
      </c>
      <c r="Q36" s="108" t="s">
        <v>189</v>
      </c>
      <c r="R36" s="15" t="s">
        <v>189</v>
      </c>
      <c r="S36" s="109" t="s">
        <v>189</v>
      </c>
      <c r="T36" s="109" t="s">
        <v>189</v>
      </c>
      <c r="U36" s="46" t="s">
        <v>189</v>
      </c>
      <c r="V36" s="17">
        <v>2</v>
      </c>
      <c r="W36" s="112"/>
    </row>
    <row r="37" spans="1:23" ht="15" customHeight="1" x14ac:dyDescent="0.55000000000000004">
      <c r="A37" s="13" t="s">
        <v>91</v>
      </c>
      <c r="B37" s="107" t="s">
        <v>92</v>
      </c>
      <c r="C37" s="136" t="s">
        <v>117</v>
      </c>
      <c r="D37" s="11" t="s">
        <v>118</v>
      </c>
      <c r="E37" s="38">
        <v>866216</v>
      </c>
      <c r="F37" s="38"/>
      <c r="G37" s="108">
        <v>2.6666666666666665</v>
      </c>
      <c r="H37" s="116">
        <v>3</v>
      </c>
      <c r="I37" s="10">
        <v>0</v>
      </c>
      <c r="J37" s="135">
        <v>3</v>
      </c>
      <c r="K37" s="109">
        <v>3</v>
      </c>
      <c r="L37" s="109">
        <v>4</v>
      </c>
      <c r="M37" s="109">
        <v>4</v>
      </c>
      <c r="N37" s="110">
        <v>4</v>
      </c>
      <c r="O37" s="109">
        <v>4</v>
      </c>
      <c r="P37" s="21">
        <v>4</v>
      </c>
      <c r="Q37" s="108" t="s">
        <v>189</v>
      </c>
      <c r="R37" s="15" t="s">
        <v>189</v>
      </c>
      <c r="S37" s="109" t="s">
        <v>189</v>
      </c>
      <c r="T37" s="109" t="s">
        <v>189</v>
      </c>
      <c r="U37" s="46" t="s">
        <v>189</v>
      </c>
      <c r="V37" s="17">
        <v>4</v>
      </c>
      <c r="W37" s="112"/>
    </row>
    <row r="38" spans="1:23" ht="15" customHeight="1" x14ac:dyDescent="0.55000000000000004">
      <c r="A38" s="13" t="s">
        <v>91</v>
      </c>
      <c r="B38" s="107" t="s">
        <v>92</v>
      </c>
      <c r="C38" s="107" t="s">
        <v>119</v>
      </c>
      <c r="D38" s="11" t="s">
        <v>120</v>
      </c>
      <c r="E38" s="38">
        <v>116624</v>
      </c>
      <c r="F38" s="38"/>
      <c r="G38" s="108">
        <v>2.6666666666666665</v>
      </c>
      <c r="H38" s="116">
        <v>2</v>
      </c>
      <c r="I38" s="10">
        <v>0</v>
      </c>
      <c r="J38" s="135">
        <v>4</v>
      </c>
      <c r="K38" s="109">
        <v>3</v>
      </c>
      <c r="L38" s="109">
        <v>4</v>
      </c>
      <c r="M38" s="109">
        <v>3</v>
      </c>
      <c r="N38" s="110">
        <v>4</v>
      </c>
      <c r="O38" s="109">
        <v>3</v>
      </c>
      <c r="P38" s="21">
        <v>3</v>
      </c>
      <c r="Q38" s="108" t="s">
        <v>189</v>
      </c>
      <c r="R38" s="15" t="s">
        <v>189</v>
      </c>
      <c r="S38" s="109" t="s">
        <v>189</v>
      </c>
      <c r="T38" s="109" t="s">
        <v>189</v>
      </c>
      <c r="U38" s="46" t="s">
        <v>189</v>
      </c>
      <c r="V38" s="17">
        <v>3</v>
      </c>
      <c r="W38" s="112"/>
    </row>
    <row r="39" spans="1:23" ht="15" customHeight="1" x14ac:dyDescent="0.55000000000000004">
      <c r="A39" s="13" t="s">
        <v>91</v>
      </c>
      <c r="B39" s="107" t="s">
        <v>92</v>
      </c>
      <c r="C39" s="107" t="s">
        <v>121</v>
      </c>
      <c r="D39" s="11" t="s">
        <v>122</v>
      </c>
      <c r="E39" s="38">
        <v>40949</v>
      </c>
      <c r="F39" s="38"/>
      <c r="G39" s="108">
        <v>2.3333333333333335</v>
      </c>
      <c r="H39" s="116">
        <v>4</v>
      </c>
      <c r="I39" s="10">
        <v>0</v>
      </c>
      <c r="J39" s="135">
        <v>4</v>
      </c>
      <c r="K39" s="109">
        <v>3</v>
      </c>
      <c r="L39" s="109">
        <v>3</v>
      </c>
      <c r="M39" s="109">
        <v>2</v>
      </c>
      <c r="N39" s="110">
        <v>1</v>
      </c>
      <c r="O39" s="109">
        <v>3</v>
      </c>
      <c r="P39" s="21">
        <v>3</v>
      </c>
      <c r="Q39" s="108" t="s">
        <v>189</v>
      </c>
      <c r="R39" s="15" t="s">
        <v>189</v>
      </c>
      <c r="S39" s="109" t="s">
        <v>189</v>
      </c>
      <c r="T39" s="109" t="s">
        <v>189</v>
      </c>
      <c r="U39" s="46" t="s">
        <v>189</v>
      </c>
      <c r="V39" s="17">
        <v>3</v>
      </c>
      <c r="W39" s="112"/>
    </row>
    <row r="40" spans="1:23" ht="15" customHeight="1" x14ac:dyDescent="0.55000000000000004">
      <c r="A40" s="13" t="s">
        <v>91</v>
      </c>
      <c r="B40" s="107" t="s">
        <v>92</v>
      </c>
      <c r="C40" s="136" t="s">
        <v>123</v>
      </c>
      <c r="D40" s="11" t="s">
        <v>124</v>
      </c>
      <c r="E40" s="38">
        <v>270899</v>
      </c>
      <c r="F40" s="38"/>
      <c r="G40" s="108">
        <v>2.6666666666666665</v>
      </c>
      <c r="H40" s="116">
        <v>3</v>
      </c>
      <c r="I40" s="10">
        <v>0</v>
      </c>
      <c r="J40" s="135">
        <v>3</v>
      </c>
      <c r="K40" s="109">
        <v>3</v>
      </c>
      <c r="L40" s="109">
        <v>4</v>
      </c>
      <c r="M40" s="109">
        <v>4</v>
      </c>
      <c r="N40" s="110">
        <v>4</v>
      </c>
      <c r="O40" s="109">
        <v>4</v>
      </c>
      <c r="P40" s="21">
        <v>4</v>
      </c>
      <c r="Q40" s="108" t="s">
        <v>189</v>
      </c>
      <c r="R40" s="15" t="s">
        <v>189</v>
      </c>
      <c r="S40" s="109" t="s">
        <v>189</v>
      </c>
      <c r="T40" s="109" t="s">
        <v>189</v>
      </c>
      <c r="U40" s="46" t="s">
        <v>189</v>
      </c>
      <c r="V40" s="17">
        <v>4</v>
      </c>
      <c r="W40" s="112"/>
    </row>
    <row r="41" spans="1:23" ht="15" customHeight="1" x14ac:dyDescent="0.55000000000000004">
      <c r="A41" s="131" t="s">
        <v>91</v>
      </c>
      <c r="B41" s="132" t="s">
        <v>92</v>
      </c>
      <c r="C41" s="132" t="s">
        <v>125</v>
      </c>
      <c r="D41" s="133" t="s">
        <v>126</v>
      </c>
      <c r="E41" s="134">
        <v>85387</v>
      </c>
      <c r="F41" s="38"/>
      <c r="G41" s="108">
        <v>0</v>
      </c>
      <c r="H41" s="116">
        <v>3</v>
      </c>
      <c r="I41" s="10">
        <v>0</v>
      </c>
      <c r="J41" s="135"/>
      <c r="K41" s="109">
        <v>3</v>
      </c>
      <c r="L41" s="109">
        <v>1</v>
      </c>
      <c r="M41" s="109">
        <v>4</v>
      </c>
      <c r="N41" s="110">
        <v>4</v>
      </c>
      <c r="O41" s="109">
        <v>3</v>
      </c>
      <c r="P41" s="21">
        <v>3</v>
      </c>
      <c r="Q41" s="108" t="s">
        <v>189</v>
      </c>
      <c r="R41" s="15" t="s">
        <v>189</v>
      </c>
      <c r="S41" s="109" t="s">
        <v>189</v>
      </c>
      <c r="T41" s="109" t="s">
        <v>189</v>
      </c>
      <c r="U41" s="46" t="s">
        <v>189</v>
      </c>
      <c r="V41" s="17">
        <v>3</v>
      </c>
      <c r="W41" s="112"/>
    </row>
    <row r="42" spans="1:23" ht="15" customHeight="1" x14ac:dyDescent="0.55000000000000004">
      <c r="A42" s="13" t="s">
        <v>91</v>
      </c>
      <c r="B42" s="107" t="s">
        <v>92</v>
      </c>
      <c r="C42" s="107" t="s">
        <v>127</v>
      </c>
      <c r="D42" s="11" t="s">
        <v>128</v>
      </c>
      <c r="E42" s="38">
        <v>158091</v>
      </c>
      <c r="F42" s="38"/>
      <c r="G42" s="108">
        <v>2</v>
      </c>
      <c r="H42" s="116">
        <v>2</v>
      </c>
      <c r="I42" s="10">
        <v>0</v>
      </c>
      <c r="J42" s="135">
        <v>3</v>
      </c>
      <c r="K42" s="109">
        <v>2</v>
      </c>
      <c r="L42" s="109">
        <v>2</v>
      </c>
      <c r="M42" s="109">
        <v>2</v>
      </c>
      <c r="N42" s="110">
        <v>4</v>
      </c>
      <c r="O42" s="109">
        <v>1</v>
      </c>
      <c r="P42" s="21">
        <v>2</v>
      </c>
      <c r="Q42" s="108" t="s">
        <v>189</v>
      </c>
      <c r="R42" s="15" t="s">
        <v>189</v>
      </c>
      <c r="S42" s="109" t="s">
        <v>189</v>
      </c>
      <c r="T42" s="109" t="s">
        <v>189</v>
      </c>
      <c r="U42" s="46" t="s">
        <v>189</v>
      </c>
      <c r="V42" s="17">
        <v>2</v>
      </c>
      <c r="W42" s="112"/>
    </row>
    <row r="43" spans="1:23" ht="15" customHeight="1" x14ac:dyDescent="0.55000000000000004">
      <c r="A43" s="13" t="s">
        <v>91</v>
      </c>
      <c r="B43" s="107" t="s">
        <v>92</v>
      </c>
      <c r="C43" s="107" t="s">
        <v>129</v>
      </c>
      <c r="D43" s="11" t="s">
        <v>130</v>
      </c>
      <c r="E43" s="38">
        <v>131460</v>
      </c>
      <c r="F43" s="38"/>
      <c r="G43" s="108">
        <v>2.3333333333333335</v>
      </c>
      <c r="H43" s="116">
        <v>3</v>
      </c>
      <c r="I43" s="10">
        <v>0</v>
      </c>
      <c r="J43" s="135">
        <v>3</v>
      </c>
      <c r="K43" s="109">
        <v>3</v>
      </c>
      <c r="L43" s="109">
        <v>4</v>
      </c>
      <c r="M43" s="109">
        <v>3</v>
      </c>
      <c r="N43" s="110">
        <v>4</v>
      </c>
      <c r="O43" s="109">
        <v>3</v>
      </c>
      <c r="P43" s="21">
        <v>3</v>
      </c>
      <c r="Q43" s="108" t="s">
        <v>189</v>
      </c>
      <c r="R43" s="15" t="s">
        <v>189</v>
      </c>
      <c r="S43" s="109" t="s">
        <v>189</v>
      </c>
      <c r="T43" s="109" t="s">
        <v>189</v>
      </c>
      <c r="U43" s="46" t="s">
        <v>189</v>
      </c>
      <c r="V43" s="17">
        <v>3</v>
      </c>
      <c r="W43" s="112"/>
    </row>
    <row r="44" spans="1:23" ht="15" customHeight="1" x14ac:dyDescent="0.55000000000000004">
      <c r="A44" s="13" t="s">
        <v>91</v>
      </c>
      <c r="B44" s="107" t="s">
        <v>92</v>
      </c>
      <c r="C44" s="136" t="s">
        <v>131</v>
      </c>
      <c r="D44" s="11" t="s">
        <v>132</v>
      </c>
      <c r="E44" s="38">
        <v>176214</v>
      </c>
      <c r="F44" s="38"/>
      <c r="G44" s="108">
        <v>1</v>
      </c>
      <c r="H44" s="116">
        <v>2</v>
      </c>
      <c r="I44" s="10">
        <v>0</v>
      </c>
      <c r="J44" s="135">
        <v>4</v>
      </c>
      <c r="K44" s="109">
        <v>4</v>
      </c>
      <c r="L44" s="109">
        <v>4</v>
      </c>
      <c r="M44" s="109">
        <v>3</v>
      </c>
      <c r="N44" s="110">
        <v>4</v>
      </c>
      <c r="O44" s="109">
        <v>4</v>
      </c>
      <c r="P44" s="21">
        <v>4</v>
      </c>
      <c r="Q44" s="108" t="s">
        <v>189</v>
      </c>
      <c r="R44" s="15" t="s">
        <v>189</v>
      </c>
      <c r="S44" s="109" t="s">
        <v>189</v>
      </c>
      <c r="T44" s="109" t="s">
        <v>189</v>
      </c>
      <c r="U44" s="46" t="s">
        <v>189</v>
      </c>
      <c r="V44" s="17">
        <v>4</v>
      </c>
      <c r="W44" s="112"/>
    </row>
    <row r="45" spans="1:23" ht="15" customHeight="1" x14ac:dyDescent="0.55000000000000004">
      <c r="A45" s="13" t="s">
        <v>91</v>
      </c>
      <c r="B45" s="107" t="s">
        <v>92</v>
      </c>
      <c r="C45" s="136" t="s">
        <v>133</v>
      </c>
      <c r="D45" s="11" t="s">
        <v>134</v>
      </c>
      <c r="E45" s="38">
        <v>1103204</v>
      </c>
      <c r="F45" s="38"/>
      <c r="G45" s="108">
        <v>2.3333333333333335</v>
      </c>
      <c r="H45" s="116">
        <v>4</v>
      </c>
      <c r="I45" s="10">
        <v>0</v>
      </c>
      <c r="J45" s="135">
        <v>3</v>
      </c>
      <c r="K45" s="109">
        <v>3</v>
      </c>
      <c r="L45" s="109">
        <v>4</v>
      </c>
      <c r="M45" s="109">
        <v>4</v>
      </c>
      <c r="N45" s="110">
        <v>4</v>
      </c>
      <c r="O45" s="109">
        <v>3</v>
      </c>
      <c r="P45" s="21">
        <v>4</v>
      </c>
      <c r="Q45" s="108" t="s">
        <v>189</v>
      </c>
      <c r="R45" s="15" t="s">
        <v>189</v>
      </c>
      <c r="S45" s="109" t="s">
        <v>189</v>
      </c>
      <c r="T45" s="109" t="s">
        <v>189</v>
      </c>
      <c r="U45" s="46" t="s">
        <v>189</v>
      </c>
      <c r="V45" s="17">
        <v>4</v>
      </c>
      <c r="W45" s="112"/>
    </row>
    <row r="46" spans="1:23" ht="15" customHeight="1" x14ac:dyDescent="0.55000000000000004">
      <c r="A46" s="131" t="s">
        <v>91</v>
      </c>
      <c r="B46" s="132" t="s">
        <v>92</v>
      </c>
      <c r="C46" s="132" t="s">
        <v>135</v>
      </c>
      <c r="D46" s="133" t="s">
        <v>136</v>
      </c>
      <c r="E46" s="134">
        <v>30137</v>
      </c>
      <c r="F46" s="38"/>
      <c r="G46" s="108">
        <v>0</v>
      </c>
      <c r="H46" s="116">
        <v>3</v>
      </c>
      <c r="I46" s="10">
        <v>0</v>
      </c>
      <c r="J46" s="135"/>
      <c r="K46" s="109">
        <v>3</v>
      </c>
      <c r="L46" s="109">
        <v>4</v>
      </c>
      <c r="M46" s="109">
        <v>3</v>
      </c>
      <c r="N46" s="110">
        <v>1</v>
      </c>
      <c r="O46" s="109">
        <v>1</v>
      </c>
      <c r="P46" s="21">
        <v>3</v>
      </c>
      <c r="Q46" s="108" t="s">
        <v>189</v>
      </c>
      <c r="R46" s="15" t="s">
        <v>189</v>
      </c>
      <c r="S46" s="109" t="s">
        <v>189</v>
      </c>
      <c r="T46" s="109" t="s">
        <v>189</v>
      </c>
      <c r="U46" s="46" t="s">
        <v>189</v>
      </c>
      <c r="V46" s="17">
        <v>3</v>
      </c>
      <c r="W46" s="112"/>
    </row>
    <row r="47" spans="1:23" ht="15" customHeight="1" x14ac:dyDescent="0.55000000000000004">
      <c r="A47" s="13" t="s">
        <v>91</v>
      </c>
      <c r="B47" s="107" t="s">
        <v>92</v>
      </c>
      <c r="C47" s="136" t="s">
        <v>137</v>
      </c>
      <c r="D47" s="11" t="s">
        <v>138</v>
      </c>
      <c r="E47" s="38">
        <v>228943</v>
      </c>
      <c r="F47" s="38"/>
      <c r="G47" s="108">
        <v>2</v>
      </c>
      <c r="H47" s="116">
        <v>3</v>
      </c>
      <c r="I47" s="10">
        <v>0</v>
      </c>
      <c r="J47" s="135">
        <v>4</v>
      </c>
      <c r="K47" s="109">
        <v>4</v>
      </c>
      <c r="L47" s="109">
        <v>4</v>
      </c>
      <c r="M47" s="109">
        <v>4</v>
      </c>
      <c r="N47" s="110">
        <v>4</v>
      </c>
      <c r="O47" s="109">
        <v>3</v>
      </c>
      <c r="P47" s="21">
        <v>4</v>
      </c>
      <c r="Q47" s="108" t="s">
        <v>189</v>
      </c>
      <c r="R47" s="15" t="s">
        <v>189</v>
      </c>
      <c r="S47" s="109" t="s">
        <v>189</v>
      </c>
      <c r="T47" s="109" t="s">
        <v>189</v>
      </c>
      <c r="U47" s="46" t="s">
        <v>189</v>
      </c>
      <c r="V47" s="17">
        <v>4</v>
      </c>
      <c r="W47" s="112"/>
    </row>
    <row r="48" spans="1:23" ht="15" customHeight="1" x14ac:dyDescent="0.55000000000000004">
      <c r="A48" s="13" t="s">
        <v>91</v>
      </c>
      <c r="B48" s="107" t="s">
        <v>92</v>
      </c>
      <c r="C48" s="136" t="s">
        <v>139</v>
      </c>
      <c r="D48" s="11" t="s">
        <v>140</v>
      </c>
      <c r="E48" s="38">
        <v>216350</v>
      </c>
      <c r="F48" s="38"/>
      <c r="G48" s="108">
        <v>2</v>
      </c>
      <c r="H48" s="116">
        <v>4</v>
      </c>
      <c r="I48" s="10">
        <v>0</v>
      </c>
      <c r="J48" s="135">
        <v>4</v>
      </c>
      <c r="K48" s="109">
        <v>3</v>
      </c>
      <c r="L48" s="109">
        <v>4</v>
      </c>
      <c r="M48" s="109">
        <v>4</v>
      </c>
      <c r="N48" s="110">
        <v>4</v>
      </c>
      <c r="O48" s="109">
        <v>3</v>
      </c>
      <c r="P48" s="21">
        <v>4</v>
      </c>
      <c r="Q48" s="108" t="s">
        <v>189</v>
      </c>
      <c r="R48" s="15" t="s">
        <v>189</v>
      </c>
      <c r="S48" s="109" t="s">
        <v>189</v>
      </c>
      <c r="T48" s="109" t="s">
        <v>189</v>
      </c>
      <c r="U48" s="46" t="s">
        <v>189</v>
      </c>
      <c r="V48" s="17">
        <v>4</v>
      </c>
      <c r="W48" s="112"/>
    </row>
    <row r="49" spans="1:23" ht="15" customHeight="1" x14ac:dyDescent="0.55000000000000004">
      <c r="A49" s="13" t="s">
        <v>91</v>
      </c>
      <c r="B49" s="107" t="s">
        <v>92</v>
      </c>
      <c r="C49" s="136" t="s">
        <v>141</v>
      </c>
      <c r="D49" s="11" t="s">
        <v>142</v>
      </c>
      <c r="E49" s="38">
        <v>223119</v>
      </c>
      <c r="F49" s="38"/>
      <c r="G49" s="108">
        <v>2.3333333333333335</v>
      </c>
      <c r="H49" s="116">
        <v>4</v>
      </c>
      <c r="I49" s="10">
        <v>0</v>
      </c>
      <c r="J49" s="135">
        <v>3</v>
      </c>
      <c r="K49" s="109">
        <v>4</v>
      </c>
      <c r="L49" s="109">
        <v>3</v>
      </c>
      <c r="M49" s="109">
        <v>4</v>
      </c>
      <c r="N49" s="110">
        <v>4</v>
      </c>
      <c r="O49" s="109">
        <v>3</v>
      </c>
      <c r="P49" s="21">
        <v>4</v>
      </c>
      <c r="Q49" s="108" t="s">
        <v>189</v>
      </c>
      <c r="R49" s="15" t="s">
        <v>189</v>
      </c>
      <c r="S49" s="109" t="s">
        <v>189</v>
      </c>
      <c r="T49" s="109" t="s">
        <v>189</v>
      </c>
      <c r="U49" s="46" t="s">
        <v>189</v>
      </c>
      <c r="V49" s="17">
        <v>4</v>
      </c>
      <c r="W49" s="112"/>
    </row>
    <row r="50" spans="1:23" ht="15" customHeight="1" x14ac:dyDescent="0.55000000000000004">
      <c r="A50" s="13" t="s">
        <v>91</v>
      </c>
      <c r="B50" s="107" t="s">
        <v>92</v>
      </c>
      <c r="C50" s="107" t="s">
        <v>143</v>
      </c>
      <c r="D50" s="11" t="s">
        <v>144</v>
      </c>
      <c r="E50" s="38">
        <v>86859</v>
      </c>
      <c r="F50" s="38"/>
      <c r="G50" s="108">
        <v>2</v>
      </c>
      <c r="H50" s="116">
        <v>3</v>
      </c>
      <c r="I50" s="10">
        <v>0</v>
      </c>
      <c r="J50" s="135">
        <v>3</v>
      </c>
      <c r="K50" s="109">
        <v>2</v>
      </c>
      <c r="L50" s="109">
        <v>3</v>
      </c>
      <c r="M50" s="109">
        <v>3</v>
      </c>
      <c r="N50" s="110">
        <v>4</v>
      </c>
      <c r="O50" s="109">
        <v>4</v>
      </c>
      <c r="P50" s="21">
        <v>3</v>
      </c>
      <c r="Q50" s="108" t="s">
        <v>189</v>
      </c>
      <c r="R50" s="15" t="s">
        <v>189</v>
      </c>
      <c r="S50" s="109" t="s">
        <v>189</v>
      </c>
      <c r="T50" s="109" t="s">
        <v>189</v>
      </c>
      <c r="U50" s="46" t="s">
        <v>189</v>
      </c>
      <c r="V50" s="17">
        <v>3</v>
      </c>
      <c r="W50" s="112"/>
    </row>
    <row r="51" spans="1:23" ht="15" customHeight="1" x14ac:dyDescent="0.55000000000000004">
      <c r="A51" s="13" t="s">
        <v>91</v>
      </c>
      <c r="B51" s="107" t="s">
        <v>92</v>
      </c>
      <c r="C51" s="107" t="s">
        <v>145</v>
      </c>
      <c r="D51" s="11" t="s">
        <v>146</v>
      </c>
      <c r="E51" s="38">
        <v>285029</v>
      </c>
      <c r="F51" s="38"/>
      <c r="G51" s="108">
        <v>2</v>
      </c>
      <c r="H51" s="116">
        <v>2</v>
      </c>
      <c r="I51" s="10">
        <v>0</v>
      </c>
      <c r="J51" s="135">
        <v>3</v>
      </c>
      <c r="K51" s="109">
        <v>2</v>
      </c>
      <c r="L51" s="109">
        <v>2</v>
      </c>
      <c r="M51" s="109">
        <v>2</v>
      </c>
      <c r="N51" s="110">
        <v>4</v>
      </c>
      <c r="O51" s="109">
        <v>3</v>
      </c>
      <c r="P51" s="21">
        <v>2</v>
      </c>
      <c r="Q51" s="108" t="s">
        <v>189</v>
      </c>
      <c r="R51" s="15" t="s">
        <v>189</v>
      </c>
      <c r="S51" s="109" t="s">
        <v>189</v>
      </c>
      <c r="T51" s="109" t="s">
        <v>189</v>
      </c>
      <c r="U51" s="46" t="s">
        <v>189</v>
      </c>
      <c r="V51" s="17">
        <v>2</v>
      </c>
      <c r="W51" s="112"/>
    </row>
    <row r="52" spans="1:23" ht="15" customHeight="1" x14ac:dyDescent="0.55000000000000004">
      <c r="A52" s="13" t="s">
        <v>147</v>
      </c>
      <c r="B52" s="107" t="s">
        <v>148</v>
      </c>
      <c r="C52" s="107" t="s">
        <v>149</v>
      </c>
      <c r="D52" s="11" t="s">
        <v>150</v>
      </c>
      <c r="E52" s="38">
        <v>261693</v>
      </c>
      <c r="F52" s="38"/>
      <c r="G52" s="108">
        <v>2</v>
      </c>
      <c r="H52" s="116">
        <v>2</v>
      </c>
      <c r="I52" s="10">
        <v>0</v>
      </c>
      <c r="J52" s="135">
        <v>2</v>
      </c>
      <c r="K52" s="109">
        <v>3</v>
      </c>
      <c r="L52" s="109">
        <v>3</v>
      </c>
      <c r="M52" s="109">
        <v>4</v>
      </c>
      <c r="N52" s="110">
        <v>4</v>
      </c>
      <c r="O52" s="109">
        <v>3</v>
      </c>
      <c r="P52" s="21">
        <v>3</v>
      </c>
      <c r="Q52" s="108" t="s">
        <v>189</v>
      </c>
      <c r="R52" s="15" t="s">
        <v>189</v>
      </c>
      <c r="S52" s="109" t="s">
        <v>189</v>
      </c>
      <c r="T52" s="109" t="s">
        <v>189</v>
      </c>
      <c r="U52" s="46" t="s">
        <v>189</v>
      </c>
      <c r="V52" s="17">
        <v>3</v>
      </c>
      <c r="W52" s="112"/>
    </row>
    <row r="53" spans="1:23" ht="15" customHeight="1" x14ac:dyDescent="0.55000000000000004">
      <c r="A53" s="13" t="s">
        <v>147</v>
      </c>
      <c r="B53" s="107" t="s">
        <v>148</v>
      </c>
      <c r="C53" s="107" t="s">
        <v>151</v>
      </c>
      <c r="D53" s="11" t="s">
        <v>152</v>
      </c>
      <c r="E53" s="38">
        <v>230780</v>
      </c>
      <c r="F53" s="38"/>
      <c r="G53" s="108">
        <v>2</v>
      </c>
      <c r="H53" s="116">
        <v>3</v>
      </c>
      <c r="I53" s="10">
        <v>0</v>
      </c>
      <c r="J53" s="135">
        <v>3</v>
      </c>
      <c r="K53" s="109">
        <v>3</v>
      </c>
      <c r="L53" s="109">
        <v>3</v>
      </c>
      <c r="M53" s="109">
        <v>3</v>
      </c>
      <c r="N53" s="110">
        <v>4</v>
      </c>
      <c r="O53" s="109">
        <v>3</v>
      </c>
      <c r="P53" s="21">
        <v>3</v>
      </c>
      <c r="Q53" s="108" t="s">
        <v>189</v>
      </c>
      <c r="R53" s="15" t="s">
        <v>189</v>
      </c>
      <c r="S53" s="109" t="s">
        <v>189</v>
      </c>
      <c r="T53" s="109" t="s">
        <v>189</v>
      </c>
      <c r="U53" s="46" t="s">
        <v>189</v>
      </c>
      <c r="V53" s="17">
        <v>3</v>
      </c>
      <c r="W53" s="112"/>
    </row>
    <row r="54" spans="1:23" ht="15" customHeight="1" x14ac:dyDescent="0.55000000000000004">
      <c r="A54" s="13" t="s">
        <v>147</v>
      </c>
      <c r="B54" s="107" t="s">
        <v>148</v>
      </c>
      <c r="C54" s="107" t="s">
        <v>153</v>
      </c>
      <c r="D54" s="11" t="s">
        <v>154</v>
      </c>
      <c r="E54" s="38">
        <v>421155</v>
      </c>
      <c r="F54" s="38"/>
      <c r="G54" s="108">
        <v>2</v>
      </c>
      <c r="H54" s="116">
        <v>2</v>
      </c>
      <c r="I54" s="10">
        <v>0</v>
      </c>
      <c r="J54" s="135">
        <v>2</v>
      </c>
      <c r="K54" s="109">
        <v>3</v>
      </c>
      <c r="L54" s="109">
        <v>4</v>
      </c>
      <c r="M54" s="109">
        <v>4</v>
      </c>
      <c r="N54" s="110">
        <v>4</v>
      </c>
      <c r="O54" s="109">
        <v>3</v>
      </c>
      <c r="P54" s="21">
        <v>3</v>
      </c>
      <c r="Q54" s="108" t="s">
        <v>189</v>
      </c>
      <c r="R54" s="15" t="s">
        <v>189</v>
      </c>
      <c r="S54" s="109" t="s">
        <v>189</v>
      </c>
      <c r="T54" s="109" t="s">
        <v>189</v>
      </c>
      <c r="U54" s="46" t="s">
        <v>189</v>
      </c>
      <c r="V54" s="17">
        <v>3</v>
      </c>
      <c r="W54" s="112"/>
    </row>
    <row r="55" spans="1:23" ht="15" customHeight="1" x14ac:dyDescent="0.55000000000000004">
      <c r="A55" s="13" t="s">
        <v>147</v>
      </c>
      <c r="B55" s="107" t="s">
        <v>148</v>
      </c>
      <c r="C55" s="107" t="s">
        <v>155</v>
      </c>
      <c r="D55" s="11" t="s">
        <v>156</v>
      </c>
      <c r="E55" s="38">
        <v>373708</v>
      </c>
      <c r="F55" s="38"/>
      <c r="G55" s="108">
        <v>2</v>
      </c>
      <c r="H55" s="116">
        <v>3</v>
      </c>
      <c r="I55" s="10">
        <v>0</v>
      </c>
      <c r="J55" s="135">
        <v>3</v>
      </c>
      <c r="K55" s="109">
        <v>3</v>
      </c>
      <c r="L55" s="109">
        <v>3</v>
      </c>
      <c r="M55" s="109">
        <v>3</v>
      </c>
      <c r="N55" s="110">
        <v>4</v>
      </c>
      <c r="O55" s="109">
        <v>3</v>
      </c>
      <c r="P55" s="21">
        <v>3</v>
      </c>
      <c r="Q55" s="108" t="s">
        <v>189</v>
      </c>
      <c r="R55" s="15" t="s">
        <v>189</v>
      </c>
      <c r="S55" s="109" t="s">
        <v>189</v>
      </c>
      <c r="T55" s="109" t="s">
        <v>189</v>
      </c>
      <c r="U55" s="46" t="s">
        <v>189</v>
      </c>
      <c r="V55" s="17">
        <v>3</v>
      </c>
      <c r="W55" s="112"/>
    </row>
    <row r="56" spans="1:23" ht="15" customHeight="1" x14ac:dyDescent="0.55000000000000004">
      <c r="A56" s="13" t="s">
        <v>147</v>
      </c>
      <c r="B56" s="107" t="s">
        <v>148</v>
      </c>
      <c r="C56" s="107" t="s">
        <v>157</v>
      </c>
      <c r="D56" s="11" t="s">
        <v>158</v>
      </c>
      <c r="E56" s="38">
        <v>589857</v>
      </c>
      <c r="F56" s="38"/>
      <c r="G56" s="108">
        <v>2</v>
      </c>
      <c r="H56" s="116">
        <v>2</v>
      </c>
      <c r="I56" s="10">
        <v>0</v>
      </c>
      <c r="J56" s="135">
        <v>3</v>
      </c>
      <c r="K56" s="109">
        <v>3</v>
      </c>
      <c r="L56" s="109">
        <v>3</v>
      </c>
      <c r="M56" s="109">
        <v>4</v>
      </c>
      <c r="N56" s="110">
        <v>4</v>
      </c>
      <c r="O56" s="109">
        <v>4</v>
      </c>
      <c r="P56" s="21">
        <v>3</v>
      </c>
      <c r="Q56" s="108" t="s">
        <v>189</v>
      </c>
      <c r="R56" s="15" t="s">
        <v>189</v>
      </c>
      <c r="S56" s="109" t="s">
        <v>189</v>
      </c>
      <c r="T56" s="109" t="s">
        <v>189</v>
      </c>
      <c r="U56" s="46" t="s">
        <v>189</v>
      </c>
      <c r="V56" s="17">
        <v>3</v>
      </c>
      <c r="W56" s="112"/>
    </row>
    <row r="57" spans="1:23" ht="15" customHeight="1" x14ac:dyDescent="0.55000000000000004">
      <c r="A57" s="13" t="s">
        <v>147</v>
      </c>
      <c r="B57" s="107" t="s">
        <v>148</v>
      </c>
      <c r="C57" s="107" t="s">
        <v>159</v>
      </c>
      <c r="D57" s="11" t="s">
        <v>160</v>
      </c>
      <c r="E57" s="38">
        <v>292654</v>
      </c>
      <c r="F57" s="38"/>
      <c r="G57" s="108">
        <v>2</v>
      </c>
      <c r="H57" s="116">
        <v>4</v>
      </c>
      <c r="I57" s="10">
        <v>0</v>
      </c>
      <c r="J57" s="135">
        <v>3</v>
      </c>
      <c r="K57" s="109">
        <v>3</v>
      </c>
      <c r="L57" s="109">
        <v>4</v>
      </c>
      <c r="M57" s="109">
        <v>4</v>
      </c>
      <c r="N57" s="110">
        <v>4</v>
      </c>
      <c r="O57" s="109">
        <v>3</v>
      </c>
      <c r="P57" s="21">
        <v>4</v>
      </c>
      <c r="Q57" s="108" t="s">
        <v>189</v>
      </c>
      <c r="R57" s="15" t="s">
        <v>189</v>
      </c>
      <c r="S57" s="109" t="s">
        <v>189</v>
      </c>
      <c r="T57" s="109" t="s">
        <v>189</v>
      </c>
      <c r="U57" s="46" t="s">
        <v>189</v>
      </c>
      <c r="V57" s="17">
        <v>3</v>
      </c>
      <c r="W57" s="112"/>
    </row>
    <row r="58" spans="1:23" ht="15" customHeight="1" x14ac:dyDescent="0.55000000000000004">
      <c r="A58" s="13" t="s">
        <v>147</v>
      </c>
      <c r="B58" s="107" t="s">
        <v>148</v>
      </c>
      <c r="C58" s="107" t="s">
        <v>161</v>
      </c>
      <c r="D58" s="11" t="s">
        <v>162</v>
      </c>
      <c r="E58" s="38">
        <v>265788</v>
      </c>
      <c r="F58" s="38"/>
      <c r="G58" s="108">
        <v>2</v>
      </c>
      <c r="H58" s="116">
        <v>3</v>
      </c>
      <c r="I58" s="10">
        <v>0</v>
      </c>
      <c r="J58" s="135">
        <v>3</v>
      </c>
      <c r="K58" s="109">
        <v>3</v>
      </c>
      <c r="L58" s="109">
        <v>4</v>
      </c>
      <c r="M58" s="109">
        <v>4</v>
      </c>
      <c r="N58" s="110">
        <v>4</v>
      </c>
      <c r="O58" s="109">
        <v>3</v>
      </c>
      <c r="P58" s="21">
        <v>3</v>
      </c>
      <c r="Q58" s="108" t="s">
        <v>189</v>
      </c>
      <c r="R58" s="15" t="s">
        <v>189</v>
      </c>
      <c r="S58" s="109" t="s">
        <v>189</v>
      </c>
      <c r="T58" s="109" t="s">
        <v>189</v>
      </c>
      <c r="U58" s="46" t="s">
        <v>189</v>
      </c>
      <c r="V58" s="17">
        <v>3</v>
      </c>
      <c r="W58" s="112"/>
    </row>
    <row r="59" spans="1:23" ht="15" customHeight="1" x14ac:dyDescent="0.55000000000000004">
      <c r="A59" s="13" t="s">
        <v>147</v>
      </c>
      <c r="B59" s="107" t="s">
        <v>148</v>
      </c>
      <c r="C59" s="107" t="s">
        <v>163</v>
      </c>
      <c r="D59" s="11" t="s">
        <v>164</v>
      </c>
      <c r="E59" s="38">
        <v>369438</v>
      </c>
      <c r="F59" s="38"/>
      <c r="G59" s="108">
        <v>2</v>
      </c>
      <c r="H59" s="116">
        <v>4</v>
      </c>
      <c r="I59" s="10">
        <v>0</v>
      </c>
      <c r="J59" s="135">
        <v>3</v>
      </c>
      <c r="K59" s="109">
        <v>3</v>
      </c>
      <c r="L59" s="109">
        <v>4</v>
      </c>
      <c r="M59" s="109">
        <v>3</v>
      </c>
      <c r="N59" s="110">
        <v>4</v>
      </c>
      <c r="O59" s="109">
        <v>3</v>
      </c>
      <c r="P59" s="21">
        <v>3</v>
      </c>
      <c r="Q59" s="108" t="s">
        <v>189</v>
      </c>
      <c r="R59" s="15" t="s">
        <v>189</v>
      </c>
      <c r="S59" s="109" t="s">
        <v>189</v>
      </c>
      <c r="T59" s="109" t="s">
        <v>189</v>
      </c>
      <c r="U59" s="46" t="s">
        <v>189</v>
      </c>
      <c r="V59" s="17">
        <v>3</v>
      </c>
      <c r="W59" s="112"/>
    </row>
    <row r="60" spans="1:23" ht="15" customHeight="1" x14ac:dyDescent="0.55000000000000004">
      <c r="A60" s="13" t="s">
        <v>147</v>
      </c>
      <c r="B60" s="107" t="s">
        <v>148</v>
      </c>
      <c r="C60" s="107" t="s">
        <v>165</v>
      </c>
      <c r="D60" s="11" t="s">
        <v>166</v>
      </c>
      <c r="E60" s="38">
        <v>326685</v>
      </c>
      <c r="F60" s="38"/>
      <c r="G60" s="108">
        <v>2</v>
      </c>
      <c r="H60" s="116">
        <v>3</v>
      </c>
      <c r="I60" s="10">
        <v>0</v>
      </c>
      <c r="J60" s="135">
        <v>3</v>
      </c>
      <c r="K60" s="109">
        <v>3</v>
      </c>
      <c r="L60" s="109">
        <v>3</v>
      </c>
      <c r="M60" s="109">
        <v>2</v>
      </c>
      <c r="N60" s="110">
        <v>4</v>
      </c>
      <c r="O60" s="109">
        <v>3</v>
      </c>
      <c r="P60" s="21">
        <v>3</v>
      </c>
      <c r="Q60" s="108" t="s">
        <v>189</v>
      </c>
      <c r="R60" s="15" t="s">
        <v>189</v>
      </c>
      <c r="S60" s="109" t="s">
        <v>189</v>
      </c>
      <c r="T60" s="109" t="s">
        <v>189</v>
      </c>
      <c r="U60" s="46" t="s">
        <v>189</v>
      </c>
      <c r="V60" s="17">
        <v>3</v>
      </c>
      <c r="W60" s="112"/>
    </row>
    <row r="61" spans="1:23" ht="15" customHeight="1" x14ac:dyDescent="0.55000000000000004">
      <c r="A61" s="13" t="s">
        <v>147</v>
      </c>
      <c r="B61" s="107" t="s">
        <v>148</v>
      </c>
      <c r="C61" s="107" t="s">
        <v>167</v>
      </c>
      <c r="D61" s="11" t="s">
        <v>168</v>
      </c>
      <c r="E61" s="38">
        <v>179478</v>
      </c>
      <c r="F61" s="38"/>
      <c r="G61" s="108">
        <v>2</v>
      </c>
      <c r="H61" s="116">
        <v>2</v>
      </c>
      <c r="I61" s="10">
        <v>0</v>
      </c>
      <c r="J61" s="135">
        <v>3</v>
      </c>
      <c r="K61" s="109">
        <v>3</v>
      </c>
      <c r="L61" s="109">
        <v>3</v>
      </c>
      <c r="M61" s="109">
        <v>4</v>
      </c>
      <c r="N61" s="110">
        <v>4</v>
      </c>
      <c r="O61" s="109">
        <v>3</v>
      </c>
      <c r="P61" s="21">
        <v>3</v>
      </c>
      <c r="Q61" s="108" t="s">
        <v>189</v>
      </c>
      <c r="R61" s="15" t="s">
        <v>189</v>
      </c>
      <c r="S61" s="109" t="s">
        <v>189</v>
      </c>
      <c r="T61" s="109" t="s">
        <v>189</v>
      </c>
      <c r="U61" s="46" t="s">
        <v>189</v>
      </c>
      <c r="V61" s="17">
        <v>3</v>
      </c>
      <c r="W61" s="112"/>
    </row>
    <row r="62" spans="1:23" ht="15" customHeight="1" x14ac:dyDescent="0.55000000000000004">
      <c r="A62" s="13" t="s">
        <v>147</v>
      </c>
      <c r="B62" s="107" t="s">
        <v>148</v>
      </c>
      <c r="C62" s="107" t="s">
        <v>169</v>
      </c>
      <c r="D62" s="11" t="s">
        <v>170</v>
      </c>
      <c r="E62" s="38">
        <v>127524</v>
      </c>
      <c r="F62" s="38"/>
      <c r="G62" s="108">
        <v>2</v>
      </c>
      <c r="H62" s="116">
        <v>2</v>
      </c>
      <c r="I62" s="10">
        <v>0</v>
      </c>
      <c r="J62" s="135">
        <v>3</v>
      </c>
      <c r="K62" s="109">
        <v>3</v>
      </c>
      <c r="L62" s="109">
        <v>3</v>
      </c>
      <c r="M62" s="109">
        <v>3</v>
      </c>
      <c r="N62" s="110">
        <v>4</v>
      </c>
      <c r="O62" s="109">
        <v>1</v>
      </c>
      <c r="P62" s="21">
        <v>3</v>
      </c>
      <c r="Q62" s="108" t="s">
        <v>189</v>
      </c>
      <c r="R62" s="15" t="s">
        <v>189</v>
      </c>
      <c r="S62" s="109" t="s">
        <v>189</v>
      </c>
      <c r="T62" s="109" t="s">
        <v>189</v>
      </c>
      <c r="U62" s="46" t="s">
        <v>189</v>
      </c>
      <c r="V62" s="17">
        <v>3</v>
      </c>
      <c r="W62" s="112"/>
    </row>
    <row r="63" spans="1:23" ht="15" customHeight="1" x14ac:dyDescent="0.55000000000000004">
      <c r="A63" s="13" t="s">
        <v>147</v>
      </c>
      <c r="B63" s="107" t="s">
        <v>148</v>
      </c>
      <c r="C63" s="107" t="s">
        <v>171</v>
      </c>
      <c r="D63" s="11" t="s">
        <v>172</v>
      </c>
      <c r="E63" s="38">
        <v>263768</v>
      </c>
      <c r="F63" s="38"/>
      <c r="G63" s="108">
        <v>2</v>
      </c>
      <c r="H63" s="116">
        <v>2</v>
      </c>
      <c r="I63" s="10">
        <v>0</v>
      </c>
      <c r="J63" s="135">
        <v>3</v>
      </c>
      <c r="K63" s="109">
        <v>3</v>
      </c>
      <c r="L63" s="109">
        <v>3</v>
      </c>
      <c r="M63" s="109">
        <v>2</v>
      </c>
      <c r="N63" s="110">
        <v>4</v>
      </c>
      <c r="O63" s="109">
        <v>4</v>
      </c>
      <c r="P63" s="21">
        <v>3</v>
      </c>
      <c r="Q63" s="108" t="s">
        <v>189</v>
      </c>
      <c r="R63" s="15" t="s">
        <v>189</v>
      </c>
      <c r="S63" s="109" t="s">
        <v>189</v>
      </c>
      <c r="T63" s="109" t="s">
        <v>189</v>
      </c>
      <c r="U63" s="46" t="s">
        <v>189</v>
      </c>
      <c r="V63" s="17">
        <v>3</v>
      </c>
      <c r="W63" s="112"/>
    </row>
    <row r="64" spans="1:23" ht="15" customHeight="1" x14ac:dyDescent="0.55000000000000004">
      <c r="A64" s="13" t="s">
        <v>147</v>
      </c>
      <c r="B64" s="107" t="s">
        <v>148</v>
      </c>
      <c r="C64" s="107" t="s">
        <v>173</v>
      </c>
      <c r="D64" s="11" t="s">
        <v>174</v>
      </c>
      <c r="E64" s="38">
        <v>253951</v>
      </c>
      <c r="F64" s="38"/>
      <c r="G64" s="108">
        <v>2</v>
      </c>
      <c r="H64" s="116">
        <v>2</v>
      </c>
      <c r="I64" s="10">
        <v>0</v>
      </c>
      <c r="J64" s="135">
        <v>2</v>
      </c>
      <c r="K64" s="109">
        <v>3</v>
      </c>
      <c r="L64" s="109">
        <v>3</v>
      </c>
      <c r="M64" s="109">
        <v>4</v>
      </c>
      <c r="N64" s="110">
        <v>4</v>
      </c>
      <c r="O64" s="109">
        <v>2</v>
      </c>
      <c r="P64" s="21">
        <v>3</v>
      </c>
      <c r="Q64" s="108" t="s">
        <v>189</v>
      </c>
      <c r="R64" s="15" t="s">
        <v>189</v>
      </c>
      <c r="S64" s="109" t="s">
        <v>189</v>
      </c>
      <c r="T64" s="109" t="s">
        <v>189</v>
      </c>
      <c r="U64" s="46" t="s">
        <v>189</v>
      </c>
      <c r="V64" s="17">
        <v>3</v>
      </c>
      <c r="W64" s="112"/>
    </row>
    <row r="65" spans="1:23" ht="15" customHeight="1" x14ac:dyDescent="0.55000000000000004">
      <c r="A65" s="13" t="s">
        <v>147</v>
      </c>
      <c r="B65" s="107" t="s">
        <v>148</v>
      </c>
      <c r="C65" s="107" t="s">
        <v>175</v>
      </c>
      <c r="D65" s="11" t="s">
        <v>176</v>
      </c>
      <c r="E65" s="38">
        <v>676494</v>
      </c>
      <c r="F65" s="38"/>
      <c r="G65" s="108">
        <v>2</v>
      </c>
      <c r="H65" s="116">
        <v>2</v>
      </c>
      <c r="I65" s="10">
        <v>0</v>
      </c>
      <c r="J65" s="135">
        <v>2</v>
      </c>
      <c r="K65" s="109">
        <v>3</v>
      </c>
      <c r="L65" s="109">
        <v>3</v>
      </c>
      <c r="M65" s="109">
        <v>4</v>
      </c>
      <c r="N65" s="110">
        <v>4</v>
      </c>
      <c r="O65" s="109">
        <v>3</v>
      </c>
      <c r="P65" s="21">
        <v>3</v>
      </c>
      <c r="Q65" s="108" t="s">
        <v>189</v>
      </c>
      <c r="R65" s="15" t="s">
        <v>189</v>
      </c>
      <c r="S65" s="109" t="s">
        <v>189</v>
      </c>
      <c r="T65" s="109" t="s">
        <v>189</v>
      </c>
      <c r="U65" s="46" t="s">
        <v>189</v>
      </c>
      <c r="V65" s="17">
        <v>3</v>
      </c>
      <c r="W65" s="112"/>
    </row>
    <row r="66" spans="1:23" ht="15" customHeight="1" x14ac:dyDescent="0.55000000000000004">
      <c r="A66" s="13" t="s">
        <v>147</v>
      </c>
      <c r="B66" s="107" t="s">
        <v>148</v>
      </c>
      <c r="C66" s="107" t="s">
        <v>177</v>
      </c>
      <c r="D66" s="11" t="s">
        <v>178</v>
      </c>
      <c r="E66" s="38">
        <v>147478</v>
      </c>
      <c r="F66" s="38"/>
      <c r="G66" s="108">
        <v>2</v>
      </c>
      <c r="H66" s="116">
        <v>2</v>
      </c>
      <c r="I66" s="10">
        <v>0</v>
      </c>
      <c r="J66" s="135">
        <v>3</v>
      </c>
      <c r="K66" s="109">
        <v>3</v>
      </c>
      <c r="L66" s="109">
        <v>4</v>
      </c>
      <c r="M66" s="109">
        <v>3</v>
      </c>
      <c r="N66" s="110">
        <v>4</v>
      </c>
      <c r="O66" s="109">
        <v>3</v>
      </c>
      <c r="P66" s="21">
        <v>3</v>
      </c>
      <c r="Q66" s="108" t="s">
        <v>189</v>
      </c>
      <c r="R66" s="15" t="s">
        <v>189</v>
      </c>
      <c r="S66" s="109" t="s">
        <v>189</v>
      </c>
      <c r="T66" s="109" t="s">
        <v>189</v>
      </c>
      <c r="U66" s="46" t="s">
        <v>189</v>
      </c>
      <c r="V66" s="17">
        <v>3</v>
      </c>
      <c r="W66" s="112"/>
    </row>
    <row r="67" spans="1:23" ht="15" customHeight="1" x14ac:dyDescent="0.55000000000000004">
      <c r="A67" s="13" t="s">
        <v>147</v>
      </c>
      <c r="B67" s="107" t="s">
        <v>148</v>
      </c>
      <c r="C67" s="107" t="s">
        <v>179</v>
      </c>
      <c r="D67" s="11" t="s">
        <v>180</v>
      </c>
      <c r="E67" s="38">
        <v>292431</v>
      </c>
      <c r="F67" s="38"/>
      <c r="G67" s="108">
        <v>2</v>
      </c>
      <c r="H67" s="116">
        <v>2</v>
      </c>
      <c r="I67" s="10">
        <v>0</v>
      </c>
      <c r="J67" s="135">
        <v>3</v>
      </c>
      <c r="K67" s="109">
        <v>3</v>
      </c>
      <c r="L67" s="109">
        <v>3</v>
      </c>
      <c r="M67" s="109">
        <v>4</v>
      </c>
      <c r="N67" s="110">
        <v>4</v>
      </c>
      <c r="O67" s="109">
        <v>3</v>
      </c>
      <c r="P67" s="21">
        <v>3</v>
      </c>
      <c r="Q67" s="108" t="s">
        <v>189</v>
      </c>
      <c r="R67" s="15" t="s">
        <v>189</v>
      </c>
      <c r="S67" s="109" t="s">
        <v>189</v>
      </c>
      <c r="T67" s="109" t="s">
        <v>189</v>
      </c>
      <c r="U67" s="46" t="s">
        <v>189</v>
      </c>
      <c r="V67" s="17">
        <v>3</v>
      </c>
      <c r="W67" s="112"/>
    </row>
    <row r="68" spans="1:23" ht="15" customHeight="1" x14ac:dyDescent="0.55000000000000004">
      <c r="A68" s="13" t="s">
        <v>147</v>
      </c>
      <c r="B68" s="107" t="s">
        <v>148</v>
      </c>
      <c r="C68" s="107" t="s">
        <v>181</v>
      </c>
      <c r="D68" s="11" t="s">
        <v>182</v>
      </c>
      <c r="E68" s="38">
        <v>298016</v>
      </c>
      <c r="F68" s="38"/>
      <c r="G68" s="108">
        <v>2</v>
      </c>
      <c r="H68" s="116">
        <v>2</v>
      </c>
      <c r="I68" s="10">
        <v>0</v>
      </c>
      <c r="J68" s="135">
        <v>3</v>
      </c>
      <c r="K68" s="109">
        <v>3</v>
      </c>
      <c r="L68" s="109">
        <v>3</v>
      </c>
      <c r="M68" s="109">
        <v>1</v>
      </c>
      <c r="N68" s="110">
        <v>4</v>
      </c>
      <c r="O68" s="109">
        <v>1</v>
      </c>
      <c r="P68" s="21">
        <v>3</v>
      </c>
      <c r="Q68" s="108" t="s">
        <v>189</v>
      </c>
      <c r="R68" s="15" t="s">
        <v>189</v>
      </c>
      <c r="S68" s="109" t="s">
        <v>189</v>
      </c>
      <c r="T68" s="109" t="s">
        <v>189</v>
      </c>
      <c r="U68" s="46" t="s">
        <v>189</v>
      </c>
      <c r="V68" s="17">
        <v>1</v>
      </c>
      <c r="W68" s="112"/>
    </row>
    <row r="69" spans="1:23" ht="15" customHeight="1" x14ac:dyDescent="0.55000000000000004">
      <c r="A69" s="13"/>
      <c r="B69" s="107"/>
      <c r="C69" s="107"/>
      <c r="D69" s="11"/>
      <c r="E69" s="38"/>
      <c r="F69" s="38"/>
      <c r="G69" s="108"/>
      <c r="H69" s="116"/>
      <c r="I69" s="109"/>
      <c r="J69" s="109"/>
      <c r="K69" s="109"/>
      <c r="L69" s="109"/>
      <c r="M69" s="109"/>
      <c r="N69" s="110"/>
      <c r="O69" s="109"/>
      <c r="P69" s="21"/>
      <c r="Q69" s="108"/>
      <c r="R69" s="15"/>
      <c r="S69" s="109"/>
      <c r="T69" s="109"/>
      <c r="U69" s="46"/>
      <c r="V69" s="111"/>
      <c r="W69" s="112"/>
    </row>
    <row r="70" spans="1:23" ht="15" customHeight="1" x14ac:dyDescent="0.55000000000000004">
      <c r="A70" s="13"/>
      <c r="B70" s="107"/>
      <c r="C70" s="107"/>
      <c r="D70" s="11"/>
      <c r="E70" s="38"/>
      <c r="F70" s="38"/>
      <c r="G70" s="108"/>
      <c r="H70" s="116"/>
      <c r="I70" s="109"/>
      <c r="J70" s="109"/>
      <c r="K70" s="109"/>
      <c r="L70" s="109"/>
      <c r="M70" s="109"/>
      <c r="N70" s="110"/>
      <c r="O70" s="109"/>
      <c r="P70" s="21"/>
      <c r="Q70" s="108"/>
      <c r="R70" s="15"/>
      <c r="S70" s="109"/>
      <c r="T70" s="109"/>
      <c r="U70" s="46"/>
      <c r="V70" s="111"/>
      <c r="W70" s="112"/>
    </row>
    <row r="71" spans="1:23" ht="15" customHeight="1" x14ac:dyDescent="0.55000000000000004">
      <c r="A71" s="13"/>
      <c r="B71" s="107"/>
      <c r="C71" s="107"/>
      <c r="D71" s="11"/>
      <c r="E71" s="38"/>
      <c r="F71" s="38"/>
      <c r="G71" s="108"/>
      <c r="H71" s="116"/>
      <c r="I71" s="109"/>
      <c r="J71" s="109"/>
      <c r="K71" s="109"/>
      <c r="L71" s="109"/>
      <c r="M71" s="109"/>
      <c r="N71" s="110"/>
      <c r="O71" s="109"/>
      <c r="P71" s="21"/>
      <c r="Q71" s="108"/>
      <c r="R71" s="15"/>
      <c r="S71" s="109"/>
      <c r="T71" s="109"/>
      <c r="U71" s="46"/>
      <c r="V71" s="111"/>
      <c r="W71" s="112"/>
    </row>
    <row r="72" spans="1:23" ht="15" customHeight="1" x14ac:dyDescent="0.55000000000000004">
      <c r="A72" s="13"/>
      <c r="B72" s="107"/>
      <c r="C72" s="107"/>
      <c r="D72" s="11"/>
      <c r="E72" s="38"/>
      <c r="F72" s="38"/>
      <c r="G72" s="108"/>
      <c r="H72" s="116"/>
      <c r="I72" s="109"/>
      <c r="J72" s="109"/>
      <c r="K72" s="109"/>
      <c r="L72" s="109"/>
      <c r="M72" s="109"/>
      <c r="N72" s="110"/>
      <c r="O72" s="109"/>
      <c r="P72" s="21"/>
      <c r="Q72" s="108"/>
      <c r="R72" s="15"/>
      <c r="S72" s="109"/>
      <c r="T72" s="109"/>
      <c r="U72" s="46"/>
      <c r="V72" s="111"/>
      <c r="W72" s="112"/>
    </row>
    <row r="73" spans="1:23" ht="15" customHeight="1" x14ac:dyDescent="0.55000000000000004">
      <c r="A73" s="13"/>
      <c r="B73" s="107"/>
      <c r="C73" s="107"/>
      <c r="D73" s="11"/>
      <c r="E73" s="38"/>
      <c r="F73" s="38"/>
      <c r="G73" s="108"/>
      <c r="H73" s="116"/>
      <c r="I73" s="109"/>
      <c r="J73" s="109"/>
      <c r="K73" s="109"/>
      <c r="L73" s="109"/>
      <c r="M73" s="109"/>
      <c r="N73" s="110"/>
      <c r="O73" s="109"/>
      <c r="P73" s="21"/>
      <c r="Q73" s="108"/>
      <c r="R73" s="15"/>
      <c r="S73" s="109"/>
      <c r="T73" s="109"/>
      <c r="U73" s="46"/>
      <c r="V73" s="111"/>
      <c r="W73" s="112"/>
    </row>
    <row r="74" spans="1:23" ht="15" customHeight="1" x14ac:dyDescent="0.55000000000000004">
      <c r="A74" s="13"/>
      <c r="B74" s="107"/>
      <c r="C74" s="107"/>
      <c r="D74" s="11"/>
      <c r="E74" s="38"/>
      <c r="F74" s="38"/>
      <c r="G74" s="108"/>
      <c r="H74" s="116"/>
      <c r="I74" s="109"/>
      <c r="J74" s="109"/>
      <c r="K74" s="109"/>
      <c r="L74" s="109"/>
      <c r="M74" s="109"/>
      <c r="N74" s="110"/>
      <c r="O74" s="109"/>
      <c r="P74" s="21"/>
      <c r="Q74" s="108"/>
      <c r="R74" s="15"/>
      <c r="S74" s="109"/>
      <c r="T74" s="109"/>
      <c r="U74" s="46"/>
      <c r="V74" s="111"/>
      <c r="W74" s="112"/>
    </row>
    <row r="75" spans="1:23" ht="15" customHeight="1" x14ac:dyDescent="0.55000000000000004">
      <c r="A75" s="13"/>
      <c r="B75" s="107"/>
      <c r="C75" s="107"/>
      <c r="D75" s="11"/>
      <c r="E75" s="38"/>
      <c r="F75" s="38"/>
      <c r="G75" s="108"/>
      <c r="H75" s="116"/>
      <c r="I75" s="109"/>
      <c r="J75" s="109"/>
      <c r="K75" s="109"/>
      <c r="L75" s="109"/>
      <c r="M75" s="109"/>
      <c r="N75" s="110"/>
      <c r="O75" s="109"/>
      <c r="P75" s="21"/>
      <c r="Q75" s="108"/>
      <c r="R75" s="15"/>
      <c r="S75" s="109"/>
      <c r="T75" s="109"/>
      <c r="U75" s="46"/>
      <c r="V75" s="111"/>
      <c r="W75" s="112"/>
    </row>
    <row r="76" spans="1:23" ht="15" customHeight="1" x14ac:dyDescent="0.55000000000000004">
      <c r="A76" s="13"/>
      <c r="B76" s="107"/>
      <c r="C76" s="107"/>
      <c r="D76" s="11"/>
      <c r="E76" s="38"/>
      <c r="F76" s="38"/>
      <c r="G76" s="108"/>
      <c r="H76" s="116"/>
      <c r="I76" s="109"/>
      <c r="J76" s="109"/>
      <c r="K76" s="109"/>
      <c r="L76" s="109"/>
      <c r="M76" s="109"/>
      <c r="N76" s="110"/>
      <c r="O76" s="109"/>
      <c r="P76" s="21"/>
      <c r="Q76" s="108"/>
      <c r="R76" s="15"/>
      <c r="S76" s="109"/>
      <c r="T76" s="109"/>
      <c r="U76" s="46"/>
      <c r="V76" s="111"/>
      <c r="W76" s="112"/>
    </row>
    <row r="77" spans="1:23" ht="15" customHeight="1" x14ac:dyDescent="0.55000000000000004">
      <c r="A77" s="13"/>
      <c r="B77" s="107"/>
      <c r="C77" s="107"/>
      <c r="D77" s="11"/>
      <c r="E77" s="38"/>
      <c r="F77" s="38"/>
      <c r="G77" s="108"/>
      <c r="H77" s="116"/>
      <c r="I77" s="109"/>
      <c r="J77" s="109"/>
      <c r="K77" s="109"/>
      <c r="L77" s="109"/>
      <c r="M77" s="109"/>
      <c r="N77" s="110"/>
      <c r="O77" s="109"/>
      <c r="P77" s="21"/>
      <c r="Q77" s="108"/>
      <c r="R77" s="15"/>
      <c r="S77" s="109"/>
      <c r="T77" s="109"/>
      <c r="U77" s="46"/>
      <c r="V77" s="111"/>
      <c r="W77" s="112"/>
    </row>
    <row r="78" spans="1:23" ht="15" customHeight="1" x14ac:dyDescent="0.55000000000000004">
      <c r="A78" s="13"/>
      <c r="B78" s="107"/>
      <c r="C78" s="107"/>
      <c r="D78" s="11"/>
      <c r="E78" s="38"/>
      <c r="F78" s="38"/>
      <c r="G78" s="108"/>
      <c r="H78" s="116"/>
      <c r="I78" s="109"/>
      <c r="J78" s="109"/>
      <c r="K78" s="109"/>
      <c r="L78" s="109"/>
      <c r="M78" s="109"/>
      <c r="N78" s="110"/>
      <c r="O78" s="109"/>
      <c r="P78" s="21"/>
      <c r="Q78" s="108"/>
      <c r="R78" s="15"/>
      <c r="S78" s="109"/>
      <c r="T78" s="109"/>
      <c r="U78" s="46"/>
      <c r="V78" s="111"/>
      <c r="W78" s="112"/>
    </row>
    <row r="79" spans="1:23" ht="15" customHeight="1" x14ac:dyDescent="0.55000000000000004">
      <c r="A79" s="13"/>
      <c r="B79" s="107"/>
      <c r="C79" s="107"/>
      <c r="D79" s="11"/>
      <c r="E79" s="38"/>
      <c r="F79" s="38"/>
      <c r="G79" s="108"/>
      <c r="H79" s="116"/>
      <c r="I79" s="109"/>
      <c r="J79" s="109"/>
      <c r="K79" s="109"/>
      <c r="L79" s="109"/>
      <c r="M79" s="109"/>
      <c r="N79" s="110"/>
      <c r="O79" s="109"/>
      <c r="P79" s="21"/>
      <c r="Q79" s="108"/>
      <c r="R79" s="15"/>
      <c r="S79" s="109"/>
      <c r="T79" s="109"/>
      <c r="U79" s="46"/>
      <c r="V79" s="111"/>
      <c r="W79" s="112"/>
    </row>
    <row r="80" spans="1:23" ht="15" customHeight="1" x14ac:dyDescent="0.55000000000000004">
      <c r="A80" s="13"/>
      <c r="B80" s="107"/>
      <c r="C80" s="107"/>
      <c r="D80" s="11"/>
      <c r="E80" s="38"/>
      <c r="F80" s="38"/>
      <c r="G80" s="108"/>
      <c r="H80" s="116"/>
      <c r="I80" s="109"/>
      <c r="J80" s="109"/>
      <c r="K80" s="109"/>
      <c r="L80" s="109"/>
      <c r="M80" s="109"/>
      <c r="N80" s="110"/>
      <c r="O80" s="109"/>
      <c r="P80" s="21"/>
      <c r="Q80" s="108"/>
      <c r="R80" s="15"/>
      <c r="S80" s="109"/>
      <c r="T80" s="109"/>
      <c r="U80" s="46"/>
      <c r="V80" s="111"/>
      <c r="W80" s="112"/>
    </row>
    <row r="81" spans="1:23" ht="15" customHeight="1" x14ac:dyDescent="0.55000000000000004">
      <c r="A81" s="13"/>
      <c r="B81" s="107"/>
      <c r="C81" s="107"/>
      <c r="D81" s="11"/>
      <c r="E81" s="38"/>
      <c r="F81" s="38"/>
      <c r="G81" s="108"/>
      <c r="H81" s="116"/>
      <c r="I81" s="109"/>
      <c r="J81" s="109"/>
      <c r="K81" s="109"/>
      <c r="L81" s="109"/>
      <c r="M81" s="109"/>
      <c r="N81" s="110"/>
      <c r="O81" s="109"/>
      <c r="P81" s="21"/>
      <c r="Q81" s="108"/>
      <c r="R81" s="15"/>
      <c r="S81" s="109"/>
      <c r="T81" s="109"/>
      <c r="U81" s="46"/>
      <c r="V81" s="111"/>
      <c r="W81" s="112"/>
    </row>
    <row r="82" spans="1:23" ht="15" customHeight="1" x14ac:dyDescent="0.55000000000000004">
      <c r="A82" s="13"/>
      <c r="B82" s="107"/>
      <c r="C82" s="107"/>
      <c r="D82" s="11"/>
      <c r="E82" s="38"/>
      <c r="F82" s="38"/>
      <c r="G82" s="108"/>
      <c r="H82" s="116"/>
      <c r="I82" s="109"/>
      <c r="J82" s="109"/>
      <c r="K82" s="109"/>
      <c r="L82" s="109"/>
      <c r="M82" s="109"/>
      <c r="N82" s="110"/>
      <c r="O82" s="109"/>
      <c r="P82" s="21"/>
      <c r="Q82" s="108"/>
      <c r="R82" s="15"/>
      <c r="S82" s="109"/>
      <c r="T82" s="109"/>
      <c r="U82" s="46"/>
      <c r="V82" s="111"/>
      <c r="W82" s="112"/>
    </row>
    <row r="83" spans="1:23" ht="15" customHeight="1" x14ac:dyDescent="0.55000000000000004">
      <c r="A83" s="13"/>
      <c r="B83" s="107"/>
      <c r="C83" s="107"/>
      <c r="D83" s="11"/>
      <c r="E83" s="38"/>
      <c r="F83" s="38"/>
      <c r="G83" s="108"/>
      <c r="H83" s="116"/>
      <c r="I83" s="109"/>
      <c r="J83" s="109"/>
      <c r="K83" s="109"/>
      <c r="L83" s="109"/>
      <c r="M83" s="109"/>
      <c r="N83" s="110"/>
      <c r="O83" s="109"/>
      <c r="P83" s="21"/>
      <c r="Q83" s="108"/>
      <c r="R83" s="15"/>
      <c r="S83" s="109"/>
      <c r="T83" s="109"/>
      <c r="U83" s="46"/>
      <c r="V83" s="111"/>
      <c r="W83" s="112"/>
    </row>
    <row r="84" spans="1:23" ht="15" customHeight="1" x14ac:dyDescent="0.55000000000000004">
      <c r="A84" s="13"/>
      <c r="B84" s="107"/>
      <c r="C84" s="107"/>
      <c r="D84" s="11"/>
      <c r="E84" s="38"/>
      <c r="F84" s="38"/>
      <c r="G84" s="108"/>
      <c r="H84" s="116"/>
      <c r="I84" s="109"/>
      <c r="J84" s="109"/>
      <c r="K84" s="109"/>
      <c r="L84" s="109"/>
      <c r="M84" s="109"/>
      <c r="N84" s="110"/>
      <c r="O84" s="109"/>
      <c r="P84" s="21"/>
      <c r="Q84" s="108"/>
      <c r="R84" s="15"/>
      <c r="S84" s="109"/>
      <c r="T84" s="109"/>
      <c r="U84" s="46"/>
      <c r="V84" s="111"/>
      <c r="W84" s="112"/>
    </row>
    <row r="85" spans="1:23" ht="15" customHeight="1" x14ac:dyDescent="0.55000000000000004">
      <c r="A85" s="13"/>
      <c r="B85" s="107"/>
      <c r="C85" s="107"/>
      <c r="D85" s="11"/>
      <c r="E85" s="38"/>
      <c r="F85" s="38"/>
      <c r="G85" s="108"/>
      <c r="H85" s="116"/>
      <c r="I85" s="109"/>
      <c r="J85" s="109"/>
      <c r="K85" s="109"/>
      <c r="L85" s="109"/>
      <c r="M85" s="109"/>
      <c r="N85" s="110"/>
      <c r="O85" s="109"/>
      <c r="P85" s="21"/>
      <c r="Q85" s="108"/>
      <c r="R85" s="15"/>
      <c r="S85" s="109"/>
      <c r="T85" s="109"/>
      <c r="U85" s="46"/>
      <c r="V85" s="111"/>
      <c r="W85" s="112"/>
    </row>
    <row r="86" spans="1:23" ht="15" customHeight="1" x14ac:dyDescent="0.55000000000000004">
      <c r="A86" s="13"/>
      <c r="B86" s="107"/>
      <c r="C86" s="107"/>
      <c r="D86" s="11"/>
      <c r="E86" s="38"/>
      <c r="F86" s="38"/>
      <c r="G86" s="108"/>
      <c r="H86" s="116"/>
      <c r="I86" s="109"/>
      <c r="J86" s="109"/>
      <c r="K86" s="109"/>
      <c r="L86" s="109"/>
      <c r="M86" s="109"/>
      <c r="N86" s="110"/>
      <c r="O86" s="109"/>
      <c r="P86" s="21"/>
      <c r="Q86" s="108"/>
      <c r="R86" s="15"/>
      <c r="S86" s="109"/>
      <c r="T86" s="109"/>
      <c r="U86" s="46"/>
      <c r="V86" s="111"/>
      <c r="W86" s="112"/>
    </row>
    <row r="87" spans="1:23" ht="15" customHeight="1" x14ac:dyDescent="0.55000000000000004">
      <c r="A87" s="13"/>
      <c r="B87" s="107"/>
      <c r="C87" s="107"/>
      <c r="D87" s="11"/>
      <c r="E87" s="38"/>
      <c r="F87" s="38"/>
      <c r="G87" s="108"/>
      <c r="H87" s="116"/>
      <c r="I87" s="109"/>
      <c r="J87" s="109"/>
      <c r="K87" s="109"/>
      <c r="L87" s="109"/>
      <c r="M87" s="109"/>
      <c r="N87" s="110"/>
      <c r="O87" s="109"/>
      <c r="P87" s="21"/>
      <c r="Q87" s="108"/>
      <c r="R87" s="15"/>
      <c r="S87" s="109"/>
      <c r="T87" s="109"/>
      <c r="U87" s="46"/>
      <c r="V87" s="111"/>
      <c r="W87" s="112"/>
    </row>
    <row r="88" spans="1:23" ht="15" customHeight="1" x14ac:dyDescent="0.55000000000000004">
      <c r="A88" s="13"/>
      <c r="B88" s="107"/>
      <c r="C88" s="107"/>
      <c r="D88" s="11"/>
      <c r="E88" s="38"/>
      <c r="F88" s="38"/>
      <c r="G88" s="108"/>
      <c r="H88" s="116"/>
      <c r="I88" s="109"/>
      <c r="J88" s="109"/>
      <c r="K88" s="109"/>
      <c r="L88" s="109"/>
      <c r="M88" s="109"/>
      <c r="N88" s="110"/>
      <c r="O88" s="109"/>
      <c r="P88" s="21"/>
      <c r="Q88" s="108"/>
      <c r="R88" s="15"/>
      <c r="S88" s="109"/>
      <c r="T88" s="109"/>
      <c r="U88" s="46"/>
      <c r="V88" s="111"/>
      <c r="W88" s="112"/>
    </row>
    <row r="89" spans="1:23" ht="15" customHeight="1" x14ac:dyDescent="0.55000000000000004">
      <c r="A89" s="13"/>
      <c r="B89" s="107"/>
      <c r="C89" s="107"/>
      <c r="D89" s="11"/>
      <c r="E89" s="38"/>
      <c r="F89" s="38"/>
      <c r="G89" s="108"/>
      <c r="H89" s="116"/>
      <c r="I89" s="109"/>
      <c r="J89" s="109"/>
      <c r="K89" s="109"/>
      <c r="L89" s="109"/>
      <c r="M89" s="109"/>
      <c r="N89" s="110"/>
      <c r="O89" s="109"/>
      <c r="P89" s="21"/>
      <c r="Q89" s="108"/>
      <c r="R89" s="15"/>
      <c r="S89" s="109"/>
      <c r="T89" s="109"/>
      <c r="U89" s="46"/>
      <c r="V89" s="111"/>
      <c r="W89" s="112"/>
    </row>
    <row r="90" spans="1:23" ht="15" customHeight="1" x14ac:dyDescent="0.55000000000000004">
      <c r="A90" s="13"/>
      <c r="B90" s="107"/>
      <c r="C90" s="107"/>
      <c r="D90" s="11"/>
      <c r="E90" s="38"/>
      <c r="F90" s="38"/>
      <c r="G90" s="108"/>
      <c r="H90" s="116"/>
      <c r="I90" s="109"/>
      <c r="J90" s="109"/>
      <c r="K90" s="109"/>
      <c r="L90" s="109"/>
      <c r="M90" s="109"/>
      <c r="N90" s="110"/>
      <c r="O90" s="109"/>
      <c r="P90" s="21"/>
      <c r="Q90" s="108"/>
      <c r="R90" s="15"/>
      <c r="S90" s="109"/>
      <c r="T90" s="109"/>
      <c r="U90" s="46"/>
      <c r="V90" s="111"/>
      <c r="W90" s="112"/>
    </row>
    <row r="91" spans="1:23" ht="15" customHeight="1" x14ac:dyDescent="0.55000000000000004">
      <c r="A91" s="13"/>
      <c r="B91" s="107"/>
      <c r="C91" s="107"/>
      <c r="D91" s="11"/>
      <c r="E91" s="38"/>
      <c r="F91" s="38"/>
      <c r="G91" s="108"/>
      <c r="H91" s="116"/>
      <c r="I91" s="109"/>
      <c r="J91" s="109"/>
      <c r="K91" s="109"/>
      <c r="L91" s="109"/>
      <c r="M91" s="109"/>
      <c r="N91" s="110"/>
      <c r="O91" s="109"/>
      <c r="P91" s="21"/>
      <c r="Q91" s="108"/>
      <c r="R91" s="15"/>
      <c r="S91" s="109"/>
      <c r="T91" s="109"/>
      <c r="U91" s="46"/>
      <c r="V91" s="111"/>
      <c r="W91" s="112"/>
    </row>
    <row r="92" spans="1:23" ht="15" customHeight="1" x14ac:dyDescent="0.55000000000000004">
      <c r="A92" s="13"/>
      <c r="B92" s="107"/>
      <c r="C92" s="107"/>
      <c r="D92" s="11"/>
      <c r="E92" s="38"/>
      <c r="F92" s="38"/>
      <c r="G92" s="108"/>
      <c r="H92" s="116"/>
      <c r="I92" s="109"/>
      <c r="J92" s="109"/>
      <c r="K92" s="109"/>
      <c r="L92" s="109"/>
      <c r="M92" s="109"/>
      <c r="N92" s="110"/>
      <c r="O92" s="109"/>
      <c r="P92" s="21"/>
      <c r="Q92" s="108"/>
      <c r="R92" s="15"/>
      <c r="S92" s="109"/>
      <c r="T92" s="109"/>
      <c r="U92" s="46"/>
      <c r="V92" s="111"/>
      <c r="W92" s="112"/>
    </row>
    <row r="93" spans="1:23" ht="15" customHeight="1" x14ac:dyDescent="0.55000000000000004">
      <c r="A93" s="13"/>
      <c r="B93" s="107"/>
      <c r="C93" s="107"/>
      <c r="D93" s="11"/>
      <c r="E93" s="38"/>
      <c r="F93" s="38"/>
      <c r="G93" s="108"/>
      <c r="H93" s="116"/>
      <c r="I93" s="109"/>
      <c r="J93" s="109"/>
      <c r="K93" s="109"/>
      <c r="L93" s="109"/>
      <c r="M93" s="109"/>
      <c r="N93" s="110"/>
      <c r="O93" s="109"/>
      <c r="P93" s="21"/>
      <c r="Q93" s="108"/>
      <c r="R93" s="15"/>
      <c r="S93" s="109"/>
      <c r="T93" s="109"/>
      <c r="U93" s="46"/>
      <c r="V93" s="111"/>
      <c r="W93" s="112"/>
    </row>
    <row r="94" spans="1:23" ht="15" customHeight="1" x14ac:dyDescent="0.55000000000000004">
      <c r="A94" s="13"/>
      <c r="B94" s="107"/>
      <c r="C94" s="107"/>
      <c r="D94" s="11"/>
      <c r="E94" s="38"/>
      <c r="F94" s="38"/>
      <c r="G94" s="108"/>
      <c r="H94" s="116"/>
      <c r="I94" s="109"/>
      <c r="J94" s="109"/>
      <c r="K94" s="109"/>
      <c r="L94" s="109"/>
      <c r="M94" s="109"/>
      <c r="N94" s="110"/>
      <c r="O94" s="109"/>
      <c r="P94" s="21"/>
      <c r="Q94" s="108"/>
      <c r="R94" s="15"/>
      <c r="S94" s="109"/>
      <c r="T94" s="109"/>
      <c r="U94" s="46"/>
      <c r="V94" s="111"/>
      <c r="W94" s="112"/>
    </row>
    <row r="95" spans="1:23" ht="15" customHeight="1" x14ac:dyDescent="0.55000000000000004">
      <c r="A95" s="13"/>
      <c r="B95" s="107"/>
      <c r="C95" s="107"/>
      <c r="D95" s="11"/>
      <c r="E95" s="38"/>
      <c r="F95" s="38"/>
      <c r="G95" s="108"/>
      <c r="H95" s="116"/>
      <c r="I95" s="109"/>
      <c r="J95" s="109"/>
      <c r="K95" s="109"/>
      <c r="L95" s="109"/>
      <c r="M95" s="109"/>
      <c r="N95" s="110"/>
      <c r="O95" s="109"/>
      <c r="P95" s="21"/>
      <c r="Q95" s="108"/>
      <c r="R95" s="15"/>
      <c r="S95" s="109"/>
      <c r="T95" s="109"/>
      <c r="U95" s="46"/>
      <c r="V95" s="111"/>
      <c r="W95" s="112"/>
    </row>
    <row r="96" spans="1:23" ht="15" customHeight="1" x14ac:dyDescent="0.55000000000000004">
      <c r="A96" s="13"/>
      <c r="B96" s="107"/>
      <c r="C96" s="107"/>
      <c r="D96" s="11"/>
      <c r="E96" s="38"/>
      <c r="F96" s="38"/>
      <c r="G96" s="108"/>
      <c r="H96" s="116"/>
      <c r="I96" s="109"/>
      <c r="J96" s="109"/>
      <c r="K96" s="109"/>
      <c r="L96" s="109"/>
      <c r="M96" s="109"/>
      <c r="N96" s="110"/>
      <c r="O96" s="109"/>
      <c r="P96" s="21"/>
      <c r="Q96" s="108"/>
      <c r="R96" s="15"/>
      <c r="S96" s="109"/>
      <c r="T96" s="109"/>
      <c r="U96" s="46"/>
      <c r="V96" s="111"/>
      <c r="W96" s="112"/>
    </row>
    <row r="97" spans="1:23" ht="15" customHeight="1" x14ac:dyDescent="0.55000000000000004">
      <c r="A97" s="13"/>
      <c r="B97" s="107"/>
      <c r="C97" s="107"/>
      <c r="D97" s="11"/>
      <c r="E97" s="38"/>
      <c r="F97" s="38"/>
      <c r="G97" s="108"/>
      <c r="H97" s="116"/>
      <c r="I97" s="109"/>
      <c r="J97" s="109"/>
      <c r="K97" s="109"/>
      <c r="L97" s="109"/>
      <c r="M97" s="109"/>
      <c r="N97" s="110"/>
      <c r="O97" s="109"/>
      <c r="P97" s="21"/>
      <c r="Q97" s="108"/>
      <c r="R97" s="15"/>
      <c r="S97" s="109"/>
      <c r="T97" s="109"/>
      <c r="U97" s="46"/>
      <c r="V97" s="111"/>
      <c r="W97" s="112"/>
    </row>
    <row r="98" spans="1:23" ht="15" customHeight="1" x14ac:dyDescent="0.55000000000000004">
      <c r="A98" s="13"/>
      <c r="B98" s="107"/>
      <c r="C98" s="107"/>
      <c r="D98" s="11"/>
      <c r="E98" s="38"/>
      <c r="F98" s="38"/>
      <c r="G98" s="108"/>
      <c r="H98" s="116"/>
      <c r="I98" s="109"/>
      <c r="J98" s="109"/>
      <c r="K98" s="109"/>
      <c r="L98" s="109"/>
      <c r="M98" s="109"/>
      <c r="N98" s="110"/>
      <c r="O98" s="109"/>
      <c r="P98" s="21"/>
      <c r="Q98" s="108"/>
      <c r="R98" s="15"/>
      <c r="S98" s="109"/>
      <c r="T98" s="109"/>
      <c r="U98" s="46"/>
      <c r="V98" s="111"/>
      <c r="W98" s="112"/>
    </row>
    <row r="99" spans="1:23" ht="15" customHeight="1" x14ac:dyDescent="0.55000000000000004">
      <c r="A99" s="13"/>
      <c r="B99" s="107"/>
      <c r="C99" s="107"/>
      <c r="D99" s="11"/>
      <c r="E99" s="38"/>
      <c r="F99" s="38"/>
      <c r="G99" s="108"/>
      <c r="H99" s="116"/>
      <c r="I99" s="109"/>
      <c r="J99" s="109"/>
      <c r="K99" s="109"/>
      <c r="L99" s="109"/>
      <c r="M99" s="109"/>
      <c r="N99" s="110"/>
      <c r="O99" s="109"/>
      <c r="P99" s="21"/>
      <c r="Q99" s="108"/>
      <c r="R99" s="15"/>
      <c r="S99" s="109"/>
      <c r="T99" s="109"/>
      <c r="U99" s="46"/>
      <c r="V99" s="111"/>
      <c r="W99" s="112"/>
    </row>
    <row r="100" spans="1:23" ht="15" customHeight="1" x14ac:dyDescent="0.55000000000000004">
      <c r="A100" s="13"/>
      <c r="B100" s="107"/>
      <c r="C100" s="107"/>
      <c r="D100" s="11"/>
      <c r="E100" s="38"/>
      <c r="F100" s="38"/>
      <c r="G100" s="108"/>
      <c r="H100" s="116"/>
      <c r="I100" s="109"/>
      <c r="J100" s="109"/>
      <c r="K100" s="109"/>
      <c r="L100" s="109"/>
      <c r="M100" s="109"/>
      <c r="N100" s="110"/>
      <c r="O100" s="109"/>
      <c r="P100" s="21"/>
      <c r="Q100" s="108"/>
      <c r="R100" s="15"/>
      <c r="S100" s="109"/>
      <c r="T100" s="109"/>
      <c r="U100" s="46"/>
      <c r="V100" s="111"/>
      <c r="W100" s="112"/>
    </row>
    <row r="101" spans="1:23" ht="15" customHeight="1" x14ac:dyDescent="0.55000000000000004">
      <c r="A101" s="13"/>
      <c r="B101" s="107"/>
      <c r="C101" s="107"/>
      <c r="D101" s="11"/>
      <c r="E101" s="38"/>
      <c r="F101" s="38"/>
      <c r="G101" s="108"/>
      <c r="H101" s="116"/>
      <c r="I101" s="109"/>
      <c r="J101" s="109"/>
      <c r="K101" s="109"/>
      <c r="L101" s="109"/>
      <c r="M101" s="109"/>
      <c r="N101" s="110"/>
      <c r="O101" s="109"/>
      <c r="P101" s="21"/>
      <c r="Q101" s="108"/>
      <c r="R101" s="15"/>
      <c r="S101" s="109"/>
      <c r="T101" s="109"/>
      <c r="U101" s="46"/>
      <c r="V101" s="111"/>
      <c r="W101" s="112"/>
    </row>
    <row r="102" spans="1:23" ht="15" customHeight="1" x14ac:dyDescent="0.55000000000000004">
      <c r="A102" s="13"/>
      <c r="B102" s="107"/>
      <c r="C102" s="107"/>
      <c r="D102" s="11"/>
      <c r="E102" s="38"/>
      <c r="F102" s="38"/>
      <c r="G102" s="108"/>
      <c r="H102" s="116"/>
      <c r="I102" s="109"/>
      <c r="J102" s="109"/>
      <c r="K102" s="109"/>
      <c r="L102" s="109"/>
      <c r="M102" s="109"/>
      <c r="N102" s="110"/>
      <c r="O102" s="109"/>
      <c r="P102" s="21"/>
      <c r="Q102" s="108"/>
      <c r="R102" s="15"/>
      <c r="S102" s="109"/>
      <c r="T102" s="109"/>
      <c r="U102" s="46"/>
      <c r="V102" s="111"/>
      <c r="W102" s="112"/>
    </row>
    <row r="103" spans="1:23" ht="15" customHeight="1" x14ac:dyDescent="0.55000000000000004">
      <c r="A103" s="13"/>
      <c r="B103" s="107"/>
      <c r="C103" s="107"/>
      <c r="D103" s="11"/>
      <c r="E103" s="38"/>
      <c r="F103" s="38"/>
      <c r="G103" s="108"/>
      <c r="H103" s="116"/>
      <c r="I103" s="109"/>
      <c r="J103" s="109"/>
      <c r="K103" s="109"/>
      <c r="L103" s="109"/>
      <c r="M103" s="109"/>
      <c r="N103" s="110"/>
      <c r="O103" s="109"/>
      <c r="P103" s="21"/>
      <c r="Q103" s="108"/>
      <c r="R103" s="15"/>
      <c r="S103" s="109"/>
      <c r="T103" s="109"/>
      <c r="U103" s="46"/>
      <c r="V103" s="111"/>
      <c r="W103" s="112"/>
    </row>
    <row r="104" spans="1:23" ht="15" customHeight="1" x14ac:dyDescent="0.55000000000000004">
      <c r="A104" s="13"/>
      <c r="B104" s="107"/>
      <c r="C104" s="107"/>
      <c r="D104" s="11"/>
      <c r="E104" s="38"/>
      <c r="F104" s="38"/>
      <c r="G104" s="108"/>
      <c r="H104" s="116"/>
      <c r="I104" s="109"/>
      <c r="J104" s="109"/>
      <c r="K104" s="109"/>
      <c r="L104" s="109"/>
      <c r="M104" s="109"/>
      <c r="N104" s="110"/>
      <c r="O104" s="109"/>
      <c r="P104" s="21"/>
      <c r="Q104" s="108"/>
      <c r="R104" s="15"/>
      <c r="S104" s="109"/>
      <c r="T104" s="109"/>
      <c r="U104" s="46"/>
      <c r="V104" s="111"/>
      <c r="W104" s="112"/>
    </row>
    <row r="105" spans="1:23" ht="15" customHeight="1" x14ac:dyDescent="0.55000000000000004">
      <c r="A105" s="13"/>
      <c r="B105" s="107"/>
      <c r="C105" s="107"/>
      <c r="D105" s="11"/>
      <c r="E105" s="38"/>
      <c r="F105" s="38"/>
      <c r="G105" s="108"/>
      <c r="H105" s="116"/>
      <c r="I105" s="109"/>
      <c r="J105" s="109"/>
      <c r="K105" s="109"/>
      <c r="L105" s="109"/>
      <c r="M105" s="109"/>
      <c r="N105" s="110"/>
      <c r="O105" s="109"/>
      <c r="P105" s="21"/>
      <c r="Q105" s="108"/>
      <c r="R105" s="15"/>
      <c r="S105" s="109"/>
      <c r="T105" s="109"/>
      <c r="U105" s="46"/>
      <c r="V105" s="111"/>
      <c r="W105" s="112"/>
    </row>
    <row r="106" spans="1:23" ht="15" customHeight="1" x14ac:dyDescent="0.55000000000000004">
      <c r="A106" s="13"/>
      <c r="B106" s="107"/>
      <c r="C106" s="107"/>
      <c r="D106" s="11"/>
      <c r="E106" s="38"/>
      <c r="F106" s="38"/>
      <c r="G106" s="108"/>
      <c r="H106" s="116"/>
      <c r="I106" s="109"/>
      <c r="J106" s="109"/>
      <c r="K106" s="109"/>
      <c r="L106" s="109"/>
      <c r="M106" s="109"/>
      <c r="N106" s="110"/>
      <c r="O106" s="109"/>
      <c r="P106" s="21"/>
      <c r="Q106" s="108"/>
      <c r="R106" s="15"/>
      <c r="S106" s="109"/>
      <c r="T106" s="109"/>
      <c r="U106" s="46"/>
      <c r="V106" s="111"/>
      <c r="W106" s="112"/>
    </row>
    <row r="107" spans="1:23" ht="15" customHeight="1" x14ac:dyDescent="0.55000000000000004">
      <c r="A107" s="13"/>
      <c r="B107" s="107"/>
      <c r="C107" s="107"/>
      <c r="D107" s="11"/>
      <c r="E107" s="38"/>
      <c r="F107" s="38"/>
      <c r="G107" s="108"/>
      <c r="H107" s="116"/>
      <c r="I107" s="109"/>
      <c r="J107" s="109"/>
      <c r="K107" s="109"/>
      <c r="L107" s="109"/>
      <c r="M107" s="109"/>
      <c r="N107" s="110"/>
      <c r="O107" s="109"/>
      <c r="P107" s="21"/>
      <c r="Q107" s="108"/>
      <c r="R107" s="15"/>
      <c r="S107" s="109"/>
      <c r="T107" s="109"/>
      <c r="U107" s="46"/>
      <c r="V107" s="111"/>
      <c r="W107" s="112"/>
    </row>
    <row r="108" spans="1:23" ht="15" customHeight="1" x14ac:dyDescent="0.55000000000000004">
      <c r="A108" s="13"/>
      <c r="B108" s="107"/>
      <c r="C108" s="107"/>
      <c r="D108" s="11"/>
      <c r="E108" s="38"/>
      <c r="F108" s="38"/>
      <c r="G108" s="108"/>
      <c r="H108" s="116"/>
      <c r="I108" s="109"/>
      <c r="J108" s="109"/>
      <c r="K108" s="109"/>
      <c r="L108" s="109"/>
      <c r="M108" s="109"/>
      <c r="N108" s="110"/>
      <c r="O108" s="109"/>
      <c r="P108" s="21"/>
      <c r="Q108" s="108"/>
      <c r="R108" s="15"/>
      <c r="S108" s="109"/>
      <c r="T108" s="109"/>
      <c r="U108" s="46"/>
      <c r="V108" s="111"/>
      <c r="W108" s="112"/>
    </row>
    <row r="109" spans="1:23" ht="15" customHeight="1" x14ac:dyDescent="0.55000000000000004">
      <c r="A109" s="13"/>
      <c r="B109" s="107"/>
      <c r="C109" s="107"/>
      <c r="D109" s="11"/>
      <c r="E109" s="38"/>
      <c r="F109" s="38"/>
      <c r="G109" s="108"/>
      <c r="H109" s="116"/>
      <c r="I109" s="109"/>
      <c r="J109" s="109"/>
      <c r="K109" s="109"/>
      <c r="L109" s="109"/>
      <c r="M109" s="109"/>
      <c r="N109" s="110"/>
      <c r="O109" s="109"/>
      <c r="P109" s="21"/>
      <c r="Q109" s="108"/>
      <c r="R109" s="15"/>
      <c r="S109" s="109"/>
      <c r="T109" s="109"/>
      <c r="U109" s="46"/>
      <c r="V109" s="111"/>
      <c r="W109" s="112"/>
    </row>
    <row r="110" spans="1:23" ht="15" customHeight="1" x14ac:dyDescent="0.55000000000000004">
      <c r="A110" s="13"/>
      <c r="B110" s="107"/>
      <c r="C110" s="107"/>
      <c r="D110" s="11"/>
      <c r="E110" s="38"/>
      <c r="F110" s="38"/>
      <c r="G110" s="108"/>
      <c r="H110" s="116"/>
      <c r="I110" s="109"/>
      <c r="J110" s="109"/>
      <c r="K110" s="109"/>
      <c r="L110" s="109"/>
      <c r="M110" s="109"/>
      <c r="N110" s="110"/>
      <c r="O110" s="109"/>
      <c r="P110" s="21"/>
      <c r="Q110" s="108"/>
      <c r="R110" s="15"/>
      <c r="S110" s="109"/>
      <c r="T110" s="109"/>
      <c r="U110" s="46"/>
      <c r="V110" s="111"/>
      <c r="W110" s="112"/>
    </row>
    <row r="111" spans="1:23" ht="15" customHeight="1" x14ac:dyDescent="0.55000000000000004">
      <c r="A111" s="13"/>
      <c r="B111" s="107"/>
      <c r="C111" s="107"/>
      <c r="D111" s="11"/>
      <c r="E111" s="38"/>
      <c r="F111" s="38"/>
      <c r="G111" s="108"/>
      <c r="H111" s="116"/>
      <c r="I111" s="109"/>
      <c r="J111" s="109"/>
      <c r="K111" s="109"/>
      <c r="L111" s="109"/>
      <c r="M111" s="109"/>
      <c r="N111" s="110"/>
      <c r="O111" s="109"/>
      <c r="P111" s="21"/>
      <c r="Q111" s="108"/>
      <c r="R111" s="15"/>
      <c r="S111" s="109"/>
      <c r="T111" s="109"/>
      <c r="U111" s="46"/>
      <c r="V111" s="111"/>
      <c r="W111" s="112"/>
    </row>
    <row r="112" spans="1:23" ht="15" customHeight="1" x14ac:dyDescent="0.55000000000000004">
      <c r="A112" s="13"/>
      <c r="B112" s="107"/>
      <c r="C112" s="107"/>
      <c r="D112" s="11"/>
      <c r="E112" s="38"/>
      <c r="F112" s="38"/>
      <c r="G112" s="108"/>
      <c r="H112" s="116"/>
      <c r="I112" s="109"/>
      <c r="J112" s="109"/>
      <c r="K112" s="109"/>
      <c r="L112" s="109"/>
      <c r="M112" s="109"/>
      <c r="N112" s="110"/>
      <c r="O112" s="109"/>
      <c r="P112" s="21"/>
      <c r="Q112" s="108"/>
      <c r="R112" s="15"/>
      <c r="S112" s="109"/>
      <c r="T112" s="109"/>
      <c r="U112" s="46"/>
      <c r="V112" s="111"/>
      <c r="W112" s="112"/>
    </row>
    <row r="113" spans="1:23" ht="15" customHeight="1" x14ac:dyDescent="0.55000000000000004">
      <c r="A113" s="13"/>
      <c r="B113" s="107"/>
      <c r="C113" s="107"/>
      <c r="D113" s="11"/>
      <c r="E113" s="38"/>
      <c r="F113" s="38"/>
      <c r="G113" s="108"/>
      <c r="H113" s="116"/>
      <c r="I113" s="109"/>
      <c r="J113" s="109"/>
      <c r="K113" s="109"/>
      <c r="L113" s="109"/>
      <c r="M113" s="109"/>
      <c r="N113" s="110"/>
      <c r="O113" s="109"/>
      <c r="P113" s="21"/>
      <c r="Q113" s="108"/>
      <c r="R113" s="15"/>
      <c r="S113" s="109"/>
      <c r="T113" s="109"/>
      <c r="U113" s="46"/>
      <c r="V113" s="111"/>
      <c r="W113" s="112"/>
    </row>
    <row r="114" spans="1:23" ht="15" customHeight="1" x14ac:dyDescent="0.55000000000000004">
      <c r="A114" s="13"/>
      <c r="B114" s="107"/>
      <c r="C114" s="107"/>
      <c r="D114" s="11"/>
      <c r="E114" s="38"/>
      <c r="F114" s="38"/>
      <c r="G114" s="108"/>
      <c r="H114" s="116"/>
      <c r="I114" s="109"/>
      <c r="J114" s="109"/>
      <c r="K114" s="109"/>
      <c r="L114" s="109"/>
      <c r="M114" s="109"/>
      <c r="N114" s="110"/>
      <c r="O114" s="109"/>
      <c r="P114" s="21"/>
      <c r="Q114" s="108"/>
      <c r="R114" s="15"/>
      <c r="S114" s="109"/>
      <c r="T114" s="109"/>
      <c r="U114" s="46"/>
      <c r="V114" s="111"/>
      <c r="W114" s="112"/>
    </row>
  </sheetData>
  <mergeCells count="8">
    <mergeCell ref="A1:F1"/>
    <mergeCell ref="V2:W2"/>
    <mergeCell ref="E2:F2"/>
    <mergeCell ref="G1:P1"/>
    <mergeCell ref="Q2:S2"/>
    <mergeCell ref="Q1:T1"/>
    <mergeCell ref="A2:D2"/>
    <mergeCell ref="T2:U2"/>
  </mergeCells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35CB-0E16-FA46-A758-6DF56AD428E2}">
  <sheetPr codeName="Sheet8">
    <tabColor rgb="FF00B050"/>
  </sheetPr>
  <dimension ref="A2:AH27"/>
  <sheetViews>
    <sheetView showGridLines="0" workbookViewId="0">
      <selection activeCell="AO11" sqref="AO11"/>
    </sheetView>
  </sheetViews>
  <sheetFormatPr defaultColWidth="11.47265625" defaultRowHeight="14.4" x14ac:dyDescent="0.55000000000000004"/>
  <cols>
    <col min="1" max="1" width="4.26171875" customWidth="1"/>
    <col min="2" max="2" width="8.47265625" bestFit="1" customWidth="1"/>
    <col min="3" max="3" width="9.5234375" bestFit="1" customWidth="1"/>
    <col min="4" max="15" width="4.26171875" customWidth="1"/>
    <col min="22" max="22" width="9.5234375" customWidth="1"/>
    <col min="23" max="23" width="8.47265625" customWidth="1"/>
    <col min="24" max="35" width="5.26171875" customWidth="1"/>
  </cols>
  <sheetData>
    <row r="2" spans="1:34" x14ac:dyDescent="0.55000000000000004">
      <c r="B2" t="e" cm="1">
        <f t="array" ref="B2">#REF!</f>
        <v>#REF!</v>
      </c>
    </row>
    <row r="3" spans="1:34" x14ac:dyDescent="0.55000000000000004">
      <c r="B3" t="e">
        <f>SUM(INDEX(#REF!, 0, MATCH(B2, #REF!, 0)))</f>
        <v>#REF!</v>
      </c>
      <c r="C3" t="e">
        <f>SUM(INDEX(#REF!, 0, MATCH(C2, #REF!, 0)))</f>
        <v>#REF!</v>
      </c>
      <c r="D3" t="e">
        <f>SUM(INDEX(#REF!, 0, MATCH(D2, #REF!, 0)))</f>
        <v>#REF!</v>
      </c>
      <c r="E3" t="e">
        <f>SUM(INDEX(#REF!, 0, MATCH(E2, #REF!, 0)))</f>
        <v>#REF!</v>
      </c>
      <c r="F3" t="e">
        <f>SUM(INDEX(#REF!, 0, MATCH(F2, #REF!, 0)))</f>
        <v>#REF!</v>
      </c>
      <c r="G3" t="e">
        <f>SUM(INDEX(#REF!, 0, MATCH(G2, #REF!, 0)))</f>
        <v>#REF!</v>
      </c>
      <c r="H3" t="e">
        <f>SUM(INDEX(#REF!, 0, MATCH(H2, #REF!, 0)))</f>
        <v>#REF!</v>
      </c>
      <c r="I3" t="e">
        <f>SUM(INDEX(#REF!, 0, MATCH(I2, #REF!, 0)))</f>
        <v>#REF!</v>
      </c>
      <c r="J3" t="e">
        <f>SUM(INDEX(#REF!, 0, MATCH(J2, #REF!, 0)))</f>
        <v>#REF!</v>
      </c>
      <c r="K3" t="str">
        <f>IF(K2="", "", SUM(INDEX(#REF!, 0, MATCH(K2, #REF!, 0))))</f>
        <v/>
      </c>
      <c r="L3" t="str">
        <f>IF(L2="", "", SUM(INDEX(#REF!, 0, MATCH(L2, #REF!, 0))))</f>
        <v/>
      </c>
      <c r="M3" t="str">
        <f>IF(M2="", "", SUM(INDEX(#REF!, 0, MATCH(M2, #REF!, 0))))</f>
        <v/>
      </c>
      <c r="V3" t="s">
        <v>1</v>
      </c>
      <c r="W3" t="e" cm="1">
        <f t="array" ref="W3">#REF!</f>
        <v>#REF!</v>
      </c>
    </row>
    <row r="4" spans="1:34" x14ac:dyDescent="0.55000000000000004">
      <c r="A4" t="s">
        <v>10</v>
      </c>
      <c r="B4" t="s">
        <v>0</v>
      </c>
      <c r="C4" t="e" cm="1">
        <f t="array" ref="C4">_xlfn._xlws.FILTER(B2:N3, B3:N3&gt;0)</f>
        <v>#REF!</v>
      </c>
      <c r="U4">
        <v>1</v>
      </c>
      <c r="V4">
        <f>COUNTIF(tblSeverityAnalysis[Preliminary Intersectoral Severity based on overlap of sectoral deprivations],'Preliminary results graph'!$U4 )</f>
        <v>0</v>
      </c>
      <c r="W4" t="e" cm="1">
        <f t="array" ref="W4">SUM(IF(INDEX(#REF!, 0, MATCH(W$3, #REF!, 0 ))=$U4, 1, 0))</f>
        <v>#REF!</v>
      </c>
      <c r="X4" t="e" cm="1">
        <f t="array" ref="X4">SUM(IF(INDEX(#REF!, 0, MATCH(X$3, #REF!, 0 ))=$U4, 1, 0))</f>
        <v>#REF!</v>
      </c>
      <c r="Y4" t="e" cm="1">
        <f t="array" ref="Y4">SUM(IF(INDEX(#REF!, 0, MATCH(Y$3, #REF!, 0 ))=$U4, 1, 0))</f>
        <v>#REF!</v>
      </c>
      <c r="Z4" t="e" cm="1">
        <f t="array" ref="Z4">SUM(IF(INDEX(#REF!, 0, MATCH(Z$3, #REF!, 0 ))=$U4, 1, 0))</f>
        <v>#REF!</v>
      </c>
      <c r="AA4" t="e" cm="1">
        <f t="array" ref="AA4">SUM(IF(INDEX(#REF!, 0, MATCH(AA$3, #REF!, 0 ))=$U4, 1, 0))</f>
        <v>#REF!</v>
      </c>
      <c r="AB4" t="e" cm="1">
        <f t="array" ref="AB4">SUM(IF(INDEX(#REF!, 0, MATCH(AB$3, #REF!, 0 ))=$U4, 1, 0))</f>
        <v>#REF!</v>
      </c>
      <c r="AC4" t="e" cm="1">
        <f t="array" ref="AC4">SUM(IF(INDEX(#REF!, 0, MATCH(AC$3, #REF!, 0 ))=$U4, 1, 0))</f>
        <v>#REF!</v>
      </c>
      <c r="AD4" t="e" cm="1">
        <f t="array" ref="AD4">SUM(IF(INDEX(#REF!, 0, MATCH(AD$3, #REF!, 0 ))=$U4, 1, 0))</f>
        <v>#REF!</v>
      </c>
      <c r="AE4" t="e" cm="1">
        <f t="array" ref="AE4">SUM(IF(INDEX(#REF!, 0, MATCH(AE$3, #REF!, 0 ))=$U4, 1, 0))</f>
        <v>#REF!</v>
      </c>
      <c r="AF4" t="str" cm="1">
        <f t="array" ref="AF4">IF(AF$3="", "", SUM(IF(INDEX(#REF!, 0, MATCH(AF$3, #REF!, 0 ))=$U4, 1, 0)))</f>
        <v/>
      </c>
      <c r="AG4" t="str" cm="1">
        <f t="array" ref="AG4">IF(AG$3="", "", SUM(IF(INDEX(#REF!, 0, MATCH(AG$3, #REF!, 0 ))=$U4, 1, 0)))</f>
        <v/>
      </c>
      <c r="AH4" t="str" cm="1">
        <f t="array" ref="AH4">IF(AH$3="", "", SUM(IF(INDEX(#REF!, 0, MATCH(AH$3, #REF!, 0 ))=$U4, 1, 0)))</f>
        <v/>
      </c>
    </row>
    <row r="5" spans="1:34" x14ac:dyDescent="0.55000000000000004">
      <c r="A5" s="46">
        <f>SUM(tblPiNAnalysis[Population])</f>
        <v>17858856</v>
      </c>
      <c r="B5" s="46">
        <f>SUM(tblPiNAnalysis[Preliminary PiN])</f>
        <v>6001764.5469768289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U5">
        <v>2</v>
      </c>
      <c r="V5">
        <f>COUNTIF(tblSeverityAnalysis[Preliminary Intersectoral Severity based on overlap of sectoral deprivations],'Preliminary results graph'!$U5 )</f>
        <v>17</v>
      </c>
      <c r="W5" t="e" cm="1">
        <f t="array" ref="W5">SUM(IF(INDEX(#REF!, 0, MATCH(W$3, #REF!, 0 ))=$U5, 1, 0))</f>
        <v>#REF!</v>
      </c>
      <c r="X5" t="e" cm="1">
        <f t="array" ref="X5">SUM(IF(INDEX(#REF!, 0, MATCH(X$3, #REF!, 0 ))=$U5, 1, 0))</f>
        <v>#REF!</v>
      </c>
      <c r="Y5" t="e" cm="1">
        <f t="array" ref="Y5">SUM(IF(INDEX(#REF!, 0, MATCH(Y$3, #REF!, 0 ))=$U5, 1, 0))</f>
        <v>#REF!</v>
      </c>
      <c r="Z5" t="e" cm="1">
        <f t="array" ref="Z5">SUM(IF(INDEX(#REF!, 0, MATCH(Z$3, #REF!, 0 ))=$U5, 1, 0))</f>
        <v>#REF!</v>
      </c>
      <c r="AA5" t="e" cm="1">
        <f t="array" ref="AA5">SUM(IF(INDEX(#REF!, 0, MATCH(AA$3, #REF!, 0 ))=$U5, 1, 0))</f>
        <v>#REF!</v>
      </c>
      <c r="AB5" t="e" cm="1">
        <f t="array" ref="AB5">SUM(IF(INDEX(#REF!, 0, MATCH(AB$3, #REF!, 0 ))=$U5, 1, 0))</f>
        <v>#REF!</v>
      </c>
      <c r="AC5" t="e" cm="1">
        <f t="array" ref="AC5">SUM(IF(INDEX(#REF!, 0, MATCH(AC$3, #REF!, 0 ))=$U5, 1, 0))</f>
        <v>#REF!</v>
      </c>
      <c r="AD5" t="e" cm="1">
        <f t="array" ref="AD5">SUM(IF(INDEX(#REF!, 0, MATCH(AD$3, #REF!, 0 ))=$U5, 1, 0))</f>
        <v>#REF!</v>
      </c>
      <c r="AE5" t="e" cm="1">
        <f t="array" ref="AE5">SUM(IF(INDEX(#REF!, 0, MATCH(AE$3, #REF!, 0 ))=$U5, 1, 0))</f>
        <v>#REF!</v>
      </c>
      <c r="AF5" t="str" cm="1">
        <f t="array" ref="AF5">IF(AF$3="", "", SUM(IF(INDEX(#REF!, 0, MATCH(AF$3, #REF!, 0 ))=$U5, 1, 0)))</f>
        <v/>
      </c>
      <c r="AG5" t="str" cm="1">
        <f t="array" ref="AG5">IF(AG$3="", "", SUM(IF(INDEX(#REF!, 0, MATCH(AG$3, #REF!, 0 ))=$U5, 1, 0)))</f>
        <v/>
      </c>
      <c r="AH5" t="str" cm="1">
        <f t="array" ref="AH5">IF(AH$3="", "", SUM(IF(INDEX(#REF!, 0, MATCH(AH$3, #REF!, 0 ))=$U5, 1, 0)))</f>
        <v/>
      </c>
    </row>
    <row r="6" spans="1:34" x14ac:dyDescent="0.55000000000000004">
      <c r="U6">
        <v>3</v>
      </c>
      <c r="V6">
        <f>COUNTIF(tblSeverityAnalysis[Preliminary Intersectoral Severity based on overlap of sectoral deprivations],'Preliminary results graph'!$U6 )</f>
        <v>37</v>
      </c>
      <c r="W6" t="e" cm="1">
        <f t="array" ref="W6">SUM(IF(INDEX(#REF!, 0, MATCH(W$3, #REF!, 0 ))=$U6, 1, 0))</f>
        <v>#REF!</v>
      </c>
      <c r="X6" t="e" cm="1">
        <f t="array" ref="X6">SUM(IF(INDEX(#REF!, 0, MATCH(X$3, #REF!, 0 ))=$U6, 1, 0))</f>
        <v>#REF!</v>
      </c>
      <c r="Y6" t="e" cm="1">
        <f t="array" ref="Y6">SUM(IF(INDEX(#REF!, 0, MATCH(Y$3, #REF!, 0 ))=$U6, 1, 0))</f>
        <v>#REF!</v>
      </c>
      <c r="Z6" t="e" cm="1">
        <f t="array" ref="Z6">SUM(IF(INDEX(#REF!, 0, MATCH(Z$3, #REF!, 0 ))=$U6, 1, 0))</f>
        <v>#REF!</v>
      </c>
      <c r="AA6" t="e" cm="1">
        <f t="array" ref="AA6">SUM(IF(INDEX(#REF!, 0, MATCH(AA$3, #REF!, 0 ))=$U6, 1, 0))</f>
        <v>#REF!</v>
      </c>
      <c r="AB6" t="e" cm="1">
        <f t="array" ref="AB6">SUM(IF(INDEX(#REF!, 0, MATCH(AB$3, #REF!, 0 ))=$U6, 1, 0))</f>
        <v>#REF!</v>
      </c>
      <c r="AC6" t="e" cm="1">
        <f t="array" ref="AC6">SUM(IF(INDEX(#REF!, 0, MATCH(AC$3, #REF!, 0 ))=$U6, 1, 0))</f>
        <v>#REF!</v>
      </c>
      <c r="AD6" t="e" cm="1">
        <f t="array" ref="AD6">SUM(IF(INDEX(#REF!, 0, MATCH(AD$3, #REF!, 0 ))=$U6, 1, 0))</f>
        <v>#REF!</v>
      </c>
      <c r="AE6" t="e" cm="1">
        <f t="array" ref="AE6">SUM(IF(INDEX(#REF!, 0, MATCH(AE$3, #REF!, 0 ))=$U6, 1, 0))</f>
        <v>#REF!</v>
      </c>
      <c r="AF6" t="str" cm="1">
        <f t="array" ref="AF6">IF(AF$3="", "", SUM(IF(INDEX(#REF!, 0, MATCH(AF$3, #REF!, 0 ))=$U6, 1, 0)))</f>
        <v/>
      </c>
      <c r="AG6" t="str" cm="1">
        <f t="array" ref="AG6">IF(AG$3="", "", SUM(IF(INDEX(#REF!, 0, MATCH(AG$3, #REF!, 0 ))=$U6, 1, 0)))</f>
        <v/>
      </c>
      <c r="AH6" t="str" cm="1">
        <f t="array" ref="AH6">IF(AH$3="", "", SUM(IF(INDEX(#REF!, 0, MATCH(AH$3, #REF!, 0 ))=$U6, 1, 0)))</f>
        <v/>
      </c>
    </row>
    <row r="7" spans="1:34" x14ac:dyDescent="0.55000000000000004">
      <c r="A7" t="str">
        <f>"Total Sectoral and Overall PiN, from a total population of "&amp;TEXT('Preliminary results graph'!$A$5,"0,000")</f>
        <v>Total Sectoral and Overall PiN, from a total population of 17858856,000</v>
      </c>
      <c r="U7">
        <v>4</v>
      </c>
      <c r="V7">
        <f>COUNTIF(tblSeverityAnalysis[Preliminary Intersectoral Severity based on overlap of sectoral deprivations],'Preliminary results graph'!$U7 )</f>
        <v>11</v>
      </c>
      <c r="W7" t="e" cm="1">
        <f t="array" ref="W7">SUM(IF(INDEX(#REF!, 0, MATCH(W$3, #REF!, 0 ))=$U7, 1, 0))</f>
        <v>#REF!</v>
      </c>
      <c r="X7" t="e" cm="1">
        <f t="array" ref="X7">SUM(IF(INDEX(#REF!, 0, MATCH(X$3, #REF!, 0 ))=$U7, 1, 0))</f>
        <v>#REF!</v>
      </c>
      <c r="Y7" t="e" cm="1">
        <f t="array" ref="Y7">SUM(IF(INDEX(#REF!, 0, MATCH(Y$3, #REF!, 0 ))=$U7, 1, 0))</f>
        <v>#REF!</v>
      </c>
      <c r="Z7" t="e" cm="1">
        <f t="array" ref="Z7">SUM(IF(INDEX(#REF!, 0, MATCH(Z$3, #REF!, 0 ))=$U7, 1, 0))</f>
        <v>#REF!</v>
      </c>
      <c r="AA7" t="e" cm="1">
        <f t="array" ref="AA7">SUM(IF(INDEX(#REF!, 0, MATCH(AA$3, #REF!, 0 ))=$U7, 1, 0))</f>
        <v>#REF!</v>
      </c>
      <c r="AB7" t="e" cm="1">
        <f t="array" ref="AB7">SUM(IF(INDEX(#REF!, 0, MATCH(AB$3, #REF!, 0 ))=$U7, 1, 0))</f>
        <v>#REF!</v>
      </c>
      <c r="AC7" t="e" cm="1">
        <f t="array" ref="AC7">SUM(IF(INDEX(#REF!, 0, MATCH(AC$3, #REF!, 0 ))=$U7, 1, 0))</f>
        <v>#REF!</v>
      </c>
      <c r="AD7" t="e" cm="1">
        <f t="array" ref="AD7">SUM(IF(INDEX(#REF!, 0, MATCH(AD$3, #REF!, 0 ))=$U7, 1, 0))</f>
        <v>#REF!</v>
      </c>
      <c r="AE7" t="e" cm="1">
        <f t="array" ref="AE7">SUM(IF(INDEX(#REF!, 0, MATCH(AE$3, #REF!, 0 ))=$U7, 1, 0))</f>
        <v>#REF!</v>
      </c>
      <c r="AF7" t="str" cm="1">
        <f t="array" ref="AF7">IF(AF$3="", "", SUM(IF(INDEX(#REF!, 0, MATCH(AF$3, #REF!, 0 ))=$U7, 1, 0)))</f>
        <v/>
      </c>
      <c r="AG7" t="str" cm="1">
        <f t="array" ref="AG7">IF(AG$3="", "", SUM(IF(INDEX(#REF!, 0, MATCH(AG$3, #REF!, 0 ))=$U7, 1, 0)))</f>
        <v/>
      </c>
      <c r="AH7" t="str" cm="1">
        <f t="array" ref="AH7">IF(AH$3="", "", SUM(IF(INDEX(#REF!, 0, MATCH(AH$3, #REF!, 0 ))=$U7, 1, 0)))</f>
        <v/>
      </c>
    </row>
    <row r="8" spans="1:34" x14ac:dyDescent="0.55000000000000004">
      <c r="U8">
        <v>5</v>
      </c>
      <c r="V8">
        <f>COUNTIF(tblSeverityAnalysis[Preliminary Intersectoral Severity based on overlap of sectoral deprivations],'Preliminary results graph'!$U8 )</f>
        <v>0</v>
      </c>
      <c r="W8" t="e" cm="1">
        <f t="array" ref="W8">SUM(IF(INDEX(#REF!, 0, MATCH(W$3, #REF!, 0 ))=$U8, 1, 0))</f>
        <v>#REF!</v>
      </c>
      <c r="X8" t="e" cm="1">
        <f t="array" ref="X8">SUM(IF(INDEX(#REF!, 0, MATCH(X$3, #REF!, 0 ))=$U8, 1, 0))</f>
        <v>#REF!</v>
      </c>
      <c r="Y8" t="e" cm="1">
        <f t="array" ref="Y8">SUM(IF(INDEX(#REF!, 0, MATCH(Y$3, #REF!, 0 ))=$U8, 1, 0))</f>
        <v>#REF!</v>
      </c>
      <c r="Z8" t="e" cm="1">
        <f t="array" ref="Z8">SUM(IF(INDEX(#REF!, 0, MATCH(Z$3, #REF!, 0 ))=$U8, 1, 0))</f>
        <v>#REF!</v>
      </c>
      <c r="AA8" t="e" cm="1">
        <f t="array" ref="AA8">SUM(IF(INDEX(#REF!, 0, MATCH(AA$3, #REF!, 0 ))=$U8, 1, 0))</f>
        <v>#REF!</v>
      </c>
      <c r="AB8" t="e" cm="1">
        <f t="array" ref="AB8">SUM(IF(INDEX(#REF!, 0, MATCH(AB$3, #REF!, 0 ))=$U8, 1, 0))</f>
        <v>#REF!</v>
      </c>
      <c r="AC8" t="e" cm="1">
        <f t="array" ref="AC8">SUM(IF(INDEX(#REF!, 0, MATCH(AC$3, #REF!, 0 ))=$U8, 1, 0))</f>
        <v>#REF!</v>
      </c>
      <c r="AD8" t="e" cm="1">
        <f t="array" ref="AD8">SUM(IF(INDEX(#REF!, 0, MATCH(AD$3, #REF!, 0 ))=$U8, 1, 0))</f>
        <v>#REF!</v>
      </c>
      <c r="AE8" t="e" cm="1">
        <f t="array" ref="AE8">SUM(IF(INDEX(#REF!, 0, MATCH(AE$3, #REF!, 0 ))=$U8, 1, 0))</f>
        <v>#REF!</v>
      </c>
      <c r="AF8" t="str" cm="1">
        <f t="array" ref="AF8">IF(AF$3="", "", SUM(IF(INDEX(#REF!, 0, MATCH(AF$3, #REF!, 0 ))=$U8, 1, 0)))</f>
        <v/>
      </c>
      <c r="AG8" t="str" cm="1">
        <f t="array" ref="AG8">IF(AG$3="", "", SUM(IF(INDEX(#REF!, 0, MATCH(AG$3, #REF!, 0 ))=$U8, 1, 0)))</f>
        <v/>
      </c>
      <c r="AH8" t="str" cm="1">
        <f t="array" ref="AH8">IF(AH$3="", "", SUM(IF(INDEX(#REF!, 0, MATCH(AH$3, #REF!, 0 ))=$U8, 1, 0)))</f>
        <v/>
      </c>
    </row>
    <row r="9" spans="1:34" x14ac:dyDescent="0.55000000000000004">
      <c r="V9">
        <f t="shared" ref="V9:AH9" si="0">SUM(V4:V8)</f>
        <v>65</v>
      </c>
      <c r="W9" t="e">
        <f t="shared" si="0"/>
        <v>#REF!</v>
      </c>
      <c r="X9" t="e">
        <f t="shared" si="0"/>
        <v>#REF!</v>
      </c>
      <c r="Y9" t="e">
        <f t="shared" si="0"/>
        <v>#REF!</v>
      </c>
      <c r="Z9" t="e">
        <f t="shared" si="0"/>
        <v>#REF!</v>
      </c>
      <c r="AA9" t="e">
        <f t="shared" si="0"/>
        <v>#REF!</v>
      </c>
      <c r="AB9" t="e">
        <f t="shared" si="0"/>
        <v>#REF!</v>
      </c>
      <c r="AC9" t="e">
        <f t="shared" si="0"/>
        <v>#REF!</v>
      </c>
      <c r="AD9" t="e">
        <f t="shared" si="0"/>
        <v>#REF!</v>
      </c>
      <c r="AE9" t="e">
        <f t="shared" si="0"/>
        <v>#REF!</v>
      </c>
      <c r="AF9">
        <f t="shared" si="0"/>
        <v>0</v>
      </c>
      <c r="AG9">
        <f t="shared" si="0"/>
        <v>0</v>
      </c>
      <c r="AH9">
        <f t="shared" si="0"/>
        <v>0</v>
      </c>
    </row>
    <row r="10" spans="1:34" x14ac:dyDescent="0.55000000000000004">
      <c r="V10" t="e" cm="1">
        <f t="array" ref="V10">_xlfn._xlws.FILTER(V3:AI9,V9:AI9&gt;0)</f>
        <v>#REF!</v>
      </c>
    </row>
    <row r="11" spans="1:34" x14ac:dyDescent="0.55000000000000004">
      <c r="U11">
        <v>1</v>
      </c>
    </row>
    <row r="12" spans="1:34" x14ac:dyDescent="0.55000000000000004">
      <c r="U12">
        <v>2</v>
      </c>
    </row>
    <row r="13" spans="1:34" x14ac:dyDescent="0.55000000000000004">
      <c r="U13">
        <v>3</v>
      </c>
    </row>
    <row r="14" spans="1:34" x14ac:dyDescent="0.55000000000000004">
      <c r="U14">
        <v>4</v>
      </c>
    </row>
    <row r="15" spans="1:34" x14ac:dyDescent="0.55000000000000004">
      <c r="U15">
        <v>5</v>
      </c>
    </row>
    <row r="26" spans="3:29" x14ac:dyDescent="0.55000000000000004">
      <c r="C26" t="str" cm="1">
        <f t="array" ref="C26:K26">tblPiNAnalysis[[#Headers],[CCCM]:[WASH]]</f>
        <v>CCCM</v>
      </c>
      <c r="D26" t="str">
        <v>Education</v>
      </c>
      <c r="E26" t="str">
        <v>Early Recovery</v>
      </c>
      <c r="F26" t="str">
        <v>Food Security</v>
      </c>
      <c r="G26" t="str">
        <v>Heath</v>
      </c>
      <c r="H26" t="str">
        <v>Nutrition</v>
      </c>
      <c r="I26" t="str">
        <v>Overarching Protection</v>
      </c>
      <c r="J26" t="str">
        <v>Shelter</v>
      </c>
      <c r="K26" t="str">
        <v>WASH</v>
      </c>
      <c r="U26" t="str" cm="1">
        <f t="array" ref="U26:AC26">tblSeverityAnalysis[[#Headers],[CCCM]:[WASH]]</f>
        <v>CCCM</v>
      </c>
      <c r="V26" t="str">
        <v>Education</v>
      </c>
      <c r="W26" t="str">
        <v>Early Recovery</v>
      </c>
      <c r="X26" t="str">
        <v>Food Security</v>
      </c>
      <c r="Y26" t="str">
        <v>Health</v>
      </c>
      <c r="Z26" t="str">
        <v>Nutrition</v>
      </c>
      <c r="AA26" t="str">
        <v>Overarching Protection</v>
      </c>
      <c r="AB26" t="str">
        <v>Shelter</v>
      </c>
      <c r="AC26" t="str">
        <v>WASH</v>
      </c>
    </row>
    <row r="27" spans="3:29" x14ac:dyDescent="0.55000000000000004">
      <c r="C27" t="e">
        <f>IF(C26="", "", COUNTIF(#REF!, _xlfn.CONCAT("*", C26, "*")))</f>
        <v>#REF!</v>
      </c>
      <c r="D27" t="e">
        <f>IF(D26="", "", COUNTIF(#REF!, _xlfn.CONCAT("*", D26, "*")))</f>
        <v>#REF!</v>
      </c>
      <c r="E27" t="e">
        <f>IF(E26="", "", COUNTIF(#REF!, _xlfn.CONCAT("*", E26, "*")))</f>
        <v>#REF!</v>
      </c>
      <c r="F27" t="e">
        <f>IF(F26="", "", COUNTIF(#REF!, _xlfn.CONCAT("*", F26, "*")))</f>
        <v>#REF!</v>
      </c>
      <c r="G27" t="e">
        <f>IF(G26="", "", COUNTIF(#REF!, _xlfn.CONCAT("*", G26, "*")))</f>
        <v>#REF!</v>
      </c>
      <c r="H27" t="e">
        <f>IF(H26="", "", COUNTIF(#REF!, _xlfn.CONCAT("*", H26, "*")))</f>
        <v>#REF!</v>
      </c>
      <c r="I27" t="e">
        <f>IF(I26="", "", COUNTIF(#REF!, _xlfn.CONCAT("*", I26, "*")))</f>
        <v>#REF!</v>
      </c>
      <c r="J27" t="e">
        <f>IF(J26="", "", COUNTIF(#REF!, _xlfn.CONCAT("*", J26, "*")))</f>
        <v>#REF!</v>
      </c>
      <c r="K27" t="e">
        <f>IF(K26="", "", COUNTIF(#REF!, _xlfn.CONCAT("*", K26, "*")))</f>
        <v>#REF!</v>
      </c>
      <c r="L27" t="str">
        <f>IF(L26="", "", COUNTIF(#REF!, _xlfn.CONCAT("*", L26, "*")))</f>
        <v/>
      </c>
      <c r="U27" t="e">
        <f>IF(U26="", "", COUNTIF(#REF!, _xlfn.CONCAT("*", U26, "*")))</f>
        <v>#REF!</v>
      </c>
      <c r="V27" t="e">
        <f>IF(V26="", "", COUNTIF(#REF!, _xlfn.CONCAT("*", V26, "*")))</f>
        <v>#REF!</v>
      </c>
      <c r="W27" t="e">
        <f>IF(W26="", "", COUNTIF(#REF!, _xlfn.CONCAT("*", W26, "*")))</f>
        <v>#REF!</v>
      </c>
      <c r="X27" t="e">
        <f>IF(X26="", "", COUNTIF(#REF!, _xlfn.CONCAT("*", X26, "*")))</f>
        <v>#REF!</v>
      </c>
      <c r="Y27" t="e">
        <f>IF(Y26="", "", COUNTIF(#REF!, _xlfn.CONCAT("*", Y26, "*")))</f>
        <v>#REF!</v>
      </c>
      <c r="Z27" t="e">
        <f>IF(Z26="", "", COUNTIF(#REF!, _xlfn.CONCAT("*", Z26, "*")))</f>
        <v>#REF!</v>
      </c>
      <c r="AA27" t="e">
        <f>IF(AA26="", "", COUNTIF(#REF!, _xlfn.CONCAT("*", AA26, "*")))</f>
        <v>#REF!</v>
      </c>
      <c r="AB27" t="e">
        <f>IF(AB26="", "", COUNTIF(#REF!, _xlfn.CONCAT("*", AB26, "*")))</f>
        <v>#REF!</v>
      </c>
      <c r="AC27" t="e">
        <f>IF(AC26="", "", COUNTIF(#REF!, _xlfn.CONCAT("*", AC26, "*")))</f>
        <v>#REF!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94CF-1B02-4D58-BB71-575A5A72DD63}">
  <sheetPr codeName="Sheet10">
    <tabColor rgb="FF00B050"/>
  </sheetPr>
  <dimension ref="A1:Y15"/>
  <sheetViews>
    <sheetView showGridLines="0" zoomScale="80" zoomScaleNormal="80" workbookViewId="0">
      <selection activeCell="AO11" sqref="AO11"/>
    </sheetView>
  </sheetViews>
  <sheetFormatPr defaultRowHeight="14.4" x14ac:dyDescent="0.55000000000000004"/>
  <cols>
    <col min="1" max="1" width="17.47265625" style="66" customWidth="1"/>
    <col min="2" max="8" width="12.7890625" style="1" customWidth="1"/>
    <col min="9" max="12" width="12.7890625" customWidth="1"/>
    <col min="14" max="14" width="15" customWidth="1"/>
    <col min="15" max="25" width="12.7890625" customWidth="1"/>
  </cols>
  <sheetData>
    <row r="1" spans="1:25" ht="52.5" customHeight="1" x14ac:dyDescent="0.55000000000000004">
      <c r="C1" s="166" t="s">
        <v>38</v>
      </c>
      <c r="D1" s="166"/>
      <c r="E1" s="166"/>
      <c r="F1" s="166"/>
      <c r="G1" s="166"/>
      <c r="M1" s="68"/>
      <c r="N1" s="66"/>
      <c r="O1" s="1"/>
      <c r="P1" s="166" t="s">
        <v>39</v>
      </c>
      <c r="Q1" s="166"/>
      <c r="R1" s="166"/>
      <c r="S1" s="166"/>
      <c r="T1" s="166"/>
      <c r="U1" s="1"/>
    </row>
    <row r="2" spans="1:25" ht="52.5" customHeight="1" x14ac:dyDescent="0.55000000000000004">
      <c r="C2" s="166"/>
      <c r="D2" s="166"/>
      <c r="E2" s="166"/>
      <c r="F2" s="166"/>
      <c r="G2" s="166"/>
      <c r="M2" s="68"/>
      <c r="N2" s="66"/>
      <c r="O2" s="1"/>
      <c r="P2" s="166"/>
      <c r="Q2" s="166"/>
      <c r="R2" s="166"/>
      <c r="S2" s="166"/>
      <c r="T2" s="166"/>
      <c r="U2" s="1"/>
    </row>
    <row r="3" spans="1:25" ht="50.25" customHeight="1" x14ac:dyDescent="0.55000000000000004">
      <c r="A3" s="63"/>
      <c r="B3" s="67" t="str" cm="1">
        <f t="array" ref="B3:J3">_xlfn.UNIQUE(tblPiNAnalysis[[#Headers],[CCCM]:[WASH]])</f>
        <v>CCCM</v>
      </c>
      <c r="C3" s="67" t="str">
        <v>Education</v>
      </c>
      <c r="D3" s="67" t="str">
        <v>Early Recovery</v>
      </c>
      <c r="E3" s="67" t="str">
        <v>Food Security</v>
      </c>
      <c r="F3" s="67" t="str">
        <v>Heath</v>
      </c>
      <c r="G3" s="67" t="str">
        <v>Nutrition</v>
      </c>
      <c r="H3" s="67" t="str">
        <v>Overarching Protection</v>
      </c>
      <c r="I3" s="67" t="str">
        <v>Shelter</v>
      </c>
      <c r="J3" s="67" t="str">
        <v>WASH</v>
      </c>
      <c r="K3" s="67"/>
      <c r="M3" s="68"/>
      <c r="N3" s="63"/>
      <c r="O3" s="67" t="str" cm="1">
        <f t="array" ref="O3:W3">_xlfn.UNIQUE(tblSeverityAnalysis[[#Headers],[CCCM]:[WASH]])</f>
        <v>CCCM</v>
      </c>
      <c r="P3" s="67" t="str">
        <v>Education</v>
      </c>
      <c r="Q3" s="67" t="str">
        <v>Early Recovery</v>
      </c>
      <c r="R3" s="67" t="str">
        <v>Food Security</v>
      </c>
      <c r="S3" s="67" t="str">
        <v>Health</v>
      </c>
      <c r="T3" s="67" t="str">
        <v>Nutrition</v>
      </c>
      <c r="U3" s="67" t="str">
        <v>Overarching Protection</v>
      </c>
      <c r="V3" s="67" t="str">
        <v>Shelter</v>
      </c>
      <c r="W3" s="67" t="str">
        <v>WASH</v>
      </c>
      <c r="X3" s="67"/>
    </row>
    <row r="4" spans="1:25" ht="37.5" customHeight="1" x14ac:dyDescent="0.55000000000000004">
      <c r="A4" s="67" t="str" cm="1">
        <f t="array" ref="A4:A12">TRANSPOSE(tblPiNAnalysis[[#Headers],[CCCM]:[WASH]])</f>
        <v>CCCM</v>
      </c>
      <c r="B4" s="64" t="str">
        <f>IF(OR($A4=B$3,B$3="",$A4=""),"",CORREL(INDEX(tblPiNAnalysis[[CCCM]:[WASH]],0,MATCH(B$3,tblPiNAnalysis[[#Headers],[CCCM]:[WASH]],0)),INDEX(tblPiNAnalysis[[CCCM]:[WASH]],0,MATCH($A4,tblPiNAnalysis[[#Headers],[CCCM]:[WASH]],0))))</f>
        <v/>
      </c>
      <c r="C4" s="64"/>
      <c r="D4" s="64"/>
      <c r="E4" s="64"/>
      <c r="F4" s="64"/>
      <c r="G4" s="64"/>
      <c r="H4" s="64"/>
      <c r="I4" s="62"/>
      <c r="J4" s="62"/>
      <c r="K4" s="62"/>
      <c r="L4" s="62"/>
      <c r="M4" s="68"/>
      <c r="N4" s="67" t="str" cm="1">
        <f t="array" ref="N4:N12">TRANSPOSE(tblSeverityAnalysis[[#Headers],[CCCM]:[WASH]])</f>
        <v>CCCM</v>
      </c>
      <c r="O4" s="64" t="str">
        <f>IF(OR($N4=O$3,O$3="",$N4=""),"",CORREL(INDEX(tblSeverityAnalysis[[CCCM]:[WASH]],0,MATCH(O$3,tblSeverityAnalysis[[#Headers],[CCCM]:[WASH]],0)),INDEX(tblSeverityAnalysis[[CCCM]:[WASH]],0,MATCH($N4,tblSeverityAnalysis[[#Headers],[CCCM]:[WASH]],0))))</f>
        <v/>
      </c>
      <c r="P4" s="64"/>
      <c r="Q4" s="64"/>
      <c r="R4" s="64"/>
      <c r="S4" s="64"/>
      <c r="T4" s="64"/>
      <c r="U4" s="64"/>
      <c r="V4" s="62"/>
      <c r="W4" s="62"/>
      <c r="X4" s="62"/>
      <c r="Y4" s="62"/>
    </row>
    <row r="5" spans="1:25" ht="37.5" customHeight="1" x14ac:dyDescent="0.55000000000000004">
      <c r="A5" s="67" t="str">
        <v>Education</v>
      </c>
      <c r="B5" s="64">
        <f>IF(OR($A5=B$3,B$3="",$A5=""),"",CORREL(INDEX(tblPiNAnalysis[[CCCM]:[WASH]],0,MATCH(B$3,tblPiNAnalysis[[#Headers],[CCCM]:[WASH]],0)),INDEX(tblPiNAnalysis[[CCCM]:[WASH]],0,MATCH($A5,tblPiNAnalysis[[#Headers],[CCCM]:[WASH]],0))))</f>
        <v>0.68121467287252835</v>
      </c>
      <c r="C5" s="64" t="str">
        <f>IF(OR($A5=C$3,C$3="",$A5=""),"",CORREL(INDEX(tblPiNAnalysis[[CCCM]:[WASH]],0,MATCH(C$3,tblPiNAnalysis[[#Headers],[CCCM]:[WASH]],0)),INDEX(tblPiNAnalysis[[CCCM]:[WASH]],0,MATCH($A5,tblPiNAnalysis[[#Headers],[CCCM]:[WASH]],0))))</f>
        <v/>
      </c>
      <c r="D5" s="64"/>
      <c r="E5" s="64"/>
      <c r="F5" s="64"/>
      <c r="G5" s="64"/>
      <c r="H5" s="64"/>
      <c r="I5" s="62"/>
      <c r="J5" s="62"/>
      <c r="K5" s="62"/>
      <c r="L5" s="62"/>
      <c r="M5" s="68"/>
      <c r="N5" s="67" t="str">
        <v>Education</v>
      </c>
      <c r="O5" s="64">
        <f>IF(OR($N5=O$3,O$3="",$N5=""),"",CORREL(INDEX(tblSeverityAnalysis[[CCCM]:[WASH]],0,MATCH(O$3,tblSeverityAnalysis[[#Headers],[CCCM]:[WASH]],0)),INDEX(tblSeverityAnalysis[[CCCM]:[WASH]],0,MATCH($N5,tblSeverityAnalysis[[#Headers],[CCCM]:[WASH]],0))))</f>
        <v>-2.2098350724337357E-2</v>
      </c>
      <c r="P5" s="64" t="str">
        <f>IF(OR($N5=P$3,P$3="",$N5=""),"",CORREL(INDEX(tblSeverityAnalysis[[CCCM]:[WASH]],0,MATCH(P$3,tblSeverityAnalysis[[#Headers],[CCCM]:[WASH]],0)),INDEX(tblSeverityAnalysis[[CCCM]:[WASH]],0,MATCH($N5,tblSeverityAnalysis[[#Headers],[CCCM]:[WASH]],0))))</f>
        <v/>
      </c>
      <c r="Q5" s="64"/>
      <c r="R5" s="64"/>
      <c r="S5" s="64"/>
      <c r="T5" s="64"/>
      <c r="U5" s="64"/>
      <c r="V5" s="62"/>
      <c r="W5" s="62"/>
      <c r="X5" s="62"/>
      <c r="Y5" s="62"/>
    </row>
    <row r="6" spans="1:25" ht="37.5" customHeight="1" x14ac:dyDescent="0.55000000000000004">
      <c r="A6" s="67" t="str">
        <v>Early Recovery</v>
      </c>
      <c r="B6" s="64" t="e">
        <f>IF(OR($A6=B$3,B$3="",$A6=""),"",CORREL(INDEX(tblPiNAnalysis[[CCCM]:[WASH]],0,MATCH(B$3,tblPiNAnalysis[[#Headers],[CCCM]:[WASH]],0)),INDEX(tblPiNAnalysis[[CCCM]:[WASH]],0,MATCH($A6,tblPiNAnalysis[[#Headers],[CCCM]:[WASH]],0))))</f>
        <v>#DIV/0!</v>
      </c>
      <c r="C6" s="64" t="e">
        <f>IF(OR($A6=C$3,C$3="",$A6=""),"",CORREL(INDEX(tblPiNAnalysis[[CCCM]:[WASH]],0,MATCH(C$3,tblPiNAnalysis[[#Headers],[CCCM]:[WASH]],0)),INDEX(tblPiNAnalysis[[CCCM]:[WASH]],0,MATCH($A6,tblPiNAnalysis[[#Headers],[CCCM]:[WASH]],0))))</f>
        <v>#DIV/0!</v>
      </c>
      <c r="D6" s="64" t="str">
        <f>IF(OR($A6=D$3,D$3="",$A6=""),"",CORREL(INDEX(tblPiNAnalysis[[CCCM]:[WASH]],0,MATCH(D$3,tblPiNAnalysis[[#Headers],[CCCM]:[WASH]],0)),INDEX(tblPiNAnalysis[[CCCM]:[WASH]],0,MATCH($A6,tblPiNAnalysis[[#Headers],[CCCM]:[WASH]],0))))</f>
        <v/>
      </c>
      <c r="E6" s="64"/>
      <c r="F6" s="64"/>
      <c r="G6" s="64"/>
      <c r="H6" s="64"/>
      <c r="I6" s="62"/>
      <c r="J6" s="62"/>
      <c r="K6" s="62"/>
      <c r="L6" s="62"/>
      <c r="M6" s="68"/>
      <c r="N6" s="67" t="str">
        <v>Early Recovery</v>
      </c>
      <c r="O6" s="64" t="e">
        <f>IF(OR($N6=O$3,O$3="",$N6=""),"",CORREL(INDEX(tblSeverityAnalysis[[CCCM]:[WASH]],0,MATCH(O$3,tblSeverityAnalysis[[#Headers],[CCCM]:[WASH]],0)),INDEX(tblSeverityAnalysis[[CCCM]:[WASH]],0,MATCH($N6,tblSeverityAnalysis[[#Headers],[CCCM]:[WASH]],0))))</f>
        <v>#DIV/0!</v>
      </c>
      <c r="P6" s="64" t="e">
        <f>IF(OR($N6=P$3,P$3="",$N6=""),"",CORREL(INDEX(tblSeverityAnalysis[[CCCM]:[WASH]],0,MATCH(P$3,tblSeverityAnalysis[[#Headers],[CCCM]:[WASH]],0)),INDEX(tblSeverityAnalysis[[CCCM]:[WASH]],0,MATCH($N6,tblSeverityAnalysis[[#Headers],[CCCM]:[WASH]],0))))</f>
        <v>#DIV/0!</v>
      </c>
      <c r="Q6" s="64" t="str">
        <f>IF(OR($N6=Q$3,Q$3="",$N6=""),"",CORREL(INDEX(tblSeverityAnalysis[[CCCM]:[WASH]],0,MATCH(Q$3,tblSeverityAnalysis[[#Headers],[CCCM]:[WASH]],0)),INDEX(tblSeverityAnalysis[[CCCM]:[WASH]],0,MATCH($N6,tblSeverityAnalysis[[#Headers],[CCCM]:[WASH]],0))))</f>
        <v/>
      </c>
      <c r="R6" s="64"/>
      <c r="S6" s="64"/>
      <c r="T6" s="64"/>
      <c r="U6" s="64"/>
      <c r="V6" s="62"/>
      <c r="W6" s="62"/>
      <c r="X6" s="62"/>
      <c r="Y6" s="62"/>
    </row>
    <row r="7" spans="1:25" ht="37.5" customHeight="1" x14ac:dyDescent="0.55000000000000004">
      <c r="A7" s="67" t="str">
        <v>Food Security</v>
      </c>
      <c r="B7" s="64">
        <f>IF(OR($A7=B$3,B$3="",$A7=""),"",CORREL(INDEX(tblPiNAnalysis[[CCCM]:[WASH]],0,MATCH(B$3,tblPiNAnalysis[[#Headers],[CCCM]:[WASH]],0)),INDEX(tblPiNAnalysis[[CCCM]:[WASH]],0,MATCH($A7,tblPiNAnalysis[[#Headers],[CCCM]:[WASH]],0))))</f>
        <v>0.67941364342587485</v>
      </c>
      <c r="C7" s="64">
        <f>IF(OR($A7=C$3,C$3="",$A7=""),"",CORREL(INDEX(tblPiNAnalysis[[CCCM]:[WASH]],0,MATCH(C$3,tblPiNAnalysis[[#Headers],[CCCM]:[WASH]],0)),INDEX(tblPiNAnalysis[[CCCM]:[WASH]],0,MATCH($A7,tblPiNAnalysis[[#Headers],[CCCM]:[WASH]],0))))</f>
        <v>0.71418443440863</v>
      </c>
      <c r="D7" s="64" t="e">
        <f>IF(OR($A7=D$3,D$3="",$A7=""),"",CORREL(INDEX(tblPiNAnalysis[[CCCM]:[WASH]],0,MATCH(D$3,tblPiNAnalysis[[#Headers],[CCCM]:[WASH]],0)),INDEX(tblPiNAnalysis[[CCCM]:[WASH]],0,MATCH($A7,tblPiNAnalysis[[#Headers],[CCCM]:[WASH]],0))))</f>
        <v>#DIV/0!</v>
      </c>
      <c r="E7" s="64" t="str">
        <f>IF(OR($A7=E$3,E$3="",$A7=""),"",CORREL(INDEX(tblPiNAnalysis[[CCCM]:[WASH]],0,MATCH(E$3,tblPiNAnalysis[[#Headers],[CCCM]:[WASH]],0)),INDEX(tblPiNAnalysis[[CCCM]:[WASH]],0,MATCH($A7,tblPiNAnalysis[[#Headers],[CCCM]:[WASH]],0))))</f>
        <v/>
      </c>
      <c r="F7" s="64"/>
      <c r="G7" s="64"/>
      <c r="H7" s="64"/>
      <c r="I7" s="62"/>
      <c r="J7" s="62"/>
      <c r="K7" s="62"/>
      <c r="L7" s="62"/>
      <c r="M7" s="68"/>
      <c r="N7" s="67" t="str">
        <v>Food Security</v>
      </c>
      <c r="O7" s="64">
        <f>IF(OR($N7=O$3,O$3="",$N7=""),"",CORREL(INDEX(tblSeverityAnalysis[[CCCM]:[WASH]],0,MATCH(O$3,tblSeverityAnalysis[[#Headers],[CCCM]:[WASH]],0)),INDEX(tblSeverityAnalysis[[CCCM]:[WASH]],0,MATCH($N7,tblSeverityAnalysis[[#Headers],[CCCM]:[WASH]],0))))</f>
        <v>-1.9701741484579992E-2</v>
      </c>
      <c r="P7" s="64">
        <f>IF(OR($N7=P$3,P$3="",$N7=""),"",CORREL(INDEX(tblSeverityAnalysis[[CCCM]:[WASH]],0,MATCH(P$3,tblSeverityAnalysis[[#Headers],[CCCM]:[WASH]],0)),INDEX(tblSeverityAnalysis[[CCCM]:[WASH]],0,MATCH($N7,tblSeverityAnalysis[[#Headers],[CCCM]:[WASH]],0))))</f>
        <v>0.28147547536257794</v>
      </c>
      <c r="Q7" s="64" t="e">
        <f>IF(OR($N7=Q$3,Q$3="",$N7=""),"",CORREL(INDEX(tblSeverityAnalysis[[CCCM]:[WASH]],0,MATCH(Q$3,tblSeverityAnalysis[[#Headers],[CCCM]:[WASH]],0)),INDEX(tblSeverityAnalysis[[CCCM]:[WASH]],0,MATCH($N7,tblSeverityAnalysis[[#Headers],[CCCM]:[WASH]],0))))</f>
        <v>#DIV/0!</v>
      </c>
      <c r="R7" s="64" t="str">
        <f>IF(OR($N7=R$3,R$3="",$N7=""),"",CORREL(INDEX(tblSeverityAnalysis[[CCCM]:[WASH]],0,MATCH(R$3,tblSeverityAnalysis[[#Headers],[CCCM]:[WASH]],0)),INDEX(tblSeverityAnalysis[[CCCM]:[WASH]],0,MATCH($N7,tblSeverityAnalysis[[#Headers],[CCCM]:[WASH]],0))))</f>
        <v/>
      </c>
      <c r="S7" s="64"/>
      <c r="T7" s="64"/>
      <c r="U7" s="64"/>
      <c r="V7" s="62"/>
      <c r="W7" s="62"/>
      <c r="X7" s="62"/>
      <c r="Y7" s="62"/>
    </row>
    <row r="8" spans="1:25" ht="37.5" customHeight="1" x14ac:dyDescent="0.55000000000000004">
      <c r="A8" s="67" t="str">
        <v>Heath</v>
      </c>
      <c r="B8" s="64">
        <f>IF(OR($A8=B$3,B$3="",$A8=""),"",CORREL(INDEX(tblPiNAnalysis[[CCCM]:[WASH]],0,MATCH(B$3,tblPiNAnalysis[[#Headers],[CCCM]:[WASH]],0)),INDEX(tblPiNAnalysis[[CCCM]:[WASH]],0,MATCH($A8,tblPiNAnalysis[[#Headers],[CCCM]:[WASH]],0))))</f>
        <v>0.73258313519906648</v>
      </c>
      <c r="C8" s="64">
        <f>IF(OR($A8=C$3,C$3="",$A8=""),"",CORREL(INDEX(tblPiNAnalysis[[CCCM]:[WASH]],0,MATCH(C$3,tblPiNAnalysis[[#Headers],[CCCM]:[WASH]],0)),INDEX(tblPiNAnalysis[[CCCM]:[WASH]],0,MATCH($A8,tblPiNAnalysis[[#Headers],[CCCM]:[WASH]],0))))</f>
        <v>0.75303251227619084</v>
      </c>
      <c r="D8" s="64" t="e">
        <f>IF(OR($A8=D$3,D$3="",$A8=""),"",CORREL(INDEX(tblPiNAnalysis[[CCCM]:[WASH]],0,MATCH(D$3,tblPiNAnalysis[[#Headers],[CCCM]:[WASH]],0)),INDEX(tblPiNAnalysis[[CCCM]:[WASH]],0,MATCH($A8,tblPiNAnalysis[[#Headers],[CCCM]:[WASH]],0))))</f>
        <v>#DIV/0!</v>
      </c>
      <c r="E8" s="64">
        <f>IF(OR($A8=E$3,E$3="",$A8=""),"",CORREL(INDEX(tblPiNAnalysis[[CCCM]:[WASH]],0,MATCH(E$3,tblPiNAnalysis[[#Headers],[CCCM]:[WASH]],0)),INDEX(tblPiNAnalysis[[CCCM]:[WASH]],0,MATCH($A8,tblPiNAnalysis[[#Headers],[CCCM]:[WASH]],0))))</f>
        <v>0.8547863469073268</v>
      </c>
      <c r="F8" s="64" t="str">
        <f>IF(OR($A8=F$3,F$3="",$A8=""),"",CORREL(INDEX(tblPiNAnalysis[[CCCM]:[WASH]],0,MATCH(F$3,tblPiNAnalysis[[#Headers],[CCCM]:[WASH]],0)),INDEX(tblPiNAnalysis[[CCCM]:[WASH]],0,MATCH($A8,tblPiNAnalysis[[#Headers],[CCCM]:[WASH]],0))))</f>
        <v/>
      </c>
      <c r="G8" s="64"/>
      <c r="H8" s="64"/>
      <c r="I8" s="62"/>
      <c r="J8" s="62"/>
      <c r="K8" s="62"/>
      <c r="L8" s="62"/>
      <c r="M8" s="68"/>
      <c r="N8" s="67" t="str">
        <v>Health</v>
      </c>
      <c r="O8" s="64">
        <f>IF(OR($N8=O$3,O$3="",$N8=""),"",CORREL(INDEX(tblSeverityAnalysis[[CCCM]:[WASH]],0,MATCH(O$3,tblSeverityAnalysis[[#Headers],[CCCM]:[WASH]],0)),INDEX(tblSeverityAnalysis[[CCCM]:[WASH]],0,MATCH($N8,tblSeverityAnalysis[[#Headers],[CCCM]:[WASH]],0))))</f>
        <v>-0.22404761514567978</v>
      </c>
      <c r="P8" s="64">
        <f>IF(OR($N8=P$3,P$3="",$N8=""),"",CORREL(INDEX(tblSeverityAnalysis[[CCCM]:[WASH]],0,MATCH(P$3,tblSeverityAnalysis[[#Headers],[CCCM]:[WASH]],0)),INDEX(tblSeverityAnalysis[[CCCM]:[WASH]],0,MATCH($N8,tblSeverityAnalysis[[#Headers],[CCCM]:[WASH]],0))))</f>
        <v>0.20374358519345029</v>
      </c>
      <c r="Q8" s="64" t="e">
        <f>IF(OR($N8=Q$3,Q$3="",$N8=""),"",CORREL(INDEX(tblSeverityAnalysis[[CCCM]:[WASH]],0,MATCH(Q$3,tblSeverityAnalysis[[#Headers],[CCCM]:[WASH]],0)),INDEX(tblSeverityAnalysis[[CCCM]:[WASH]],0,MATCH($N8,tblSeverityAnalysis[[#Headers],[CCCM]:[WASH]],0))))</f>
        <v>#DIV/0!</v>
      </c>
      <c r="R8" s="64">
        <f>IF(OR($N8=R$3,R$3="",$N8=""),"",CORREL(INDEX(tblSeverityAnalysis[[CCCM]:[WASH]],0,MATCH(R$3,tblSeverityAnalysis[[#Headers],[CCCM]:[WASH]],0)),INDEX(tblSeverityAnalysis[[CCCM]:[WASH]],0,MATCH($N8,tblSeverityAnalysis[[#Headers],[CCCM]:[WASH]],0))))</f>
        <v>0.17073415646581258</v>
      </c>
      <c r="S8" s="64" t="str">
        <f>IF(OR($N8=S$3,S$3="",$N8=""),"",CORREL(INDEX(tblSeverityAnalysis[[CCCM]:[WASH]],0,MATCH(S$3,tblSeverityAnalysis[[#Headers],[CCCM]:[WASH]],0)),INDEX(tblSeverityAnalysis[[CCCM]:[WASH]],0,MATCH($N8,tblSeverityAnalysis[[#Headers],[CCCM]:[WASH]],0))))</f>
        <v/>
      </c>
      <c r="T8" s="64"/>
      <c r="U8" s="64"/>
      <c r="V8" s="62"/>
      <c r="W8" s="62"/>
      <c r="X8" s="62"/>
      <c r="Y8" s="62"/>
    </row>
    <row r="9" spans="1:25" ht="37.5" customHeight="1" x14ac:dyDescent="0.55000000000000004">
      <c r="A9" s="67" t="str">
        <v>Nutrition</v>
      </c>
      <c r="B9" s="64">
        <f>IF(OR($A9=B$3,B$3="",$A9=""),"",CORREL(INDEX(tblPiNAnalysis[[CCCM]:[WASH]],0,MATCH(B$3,tblPiNAnalysis[[#Headers],[CCCM]:[WASH]],0)),INDEX(tblPiNAnalysis[[CCCM]:[WASH]],0,MATCH($A9,tblPiNAnalysis[[#Headers],[CCCM]:[WASH]],0))))</f>
        <v>0.51518149090408605</v>
      </c>
      <c r="C9" s="64">
        <f>IF(OR($A9=C$3,C$3="",$A9=""),"",CORREL(INDEX(tblPiNAnalysis[[CCCM]:[WASH]],0,MATCH(C$3,tblPiNAnalysis[[#Headers],[CCCM]:[WASH]],0)),INDEX(tblPiNAnalysis[[CCCM]:[WASH]],0,MATCH($A9,tblPiNAnalysis[[#Headers],[CCCM]:[WASH]],0))))</f>
        <v>0.7391273310560319</v>
      </c>
      <c r="D9" s="64" t="e">
        <f>IF(OR($A9=D$3,D$3="",$A9=""),"",CORREL(INDEX(tblPiNAnalysis[[CCCM]:[WASH]],0,MATCH(D$3,tblPiNAnalysis[[#Headers],[CCCM]:[WASH]],0)),INDEX(tblPiNAnalysis[[CCCM]:[WASH]],0,MATCH($A9,tblPiNAnalysis[[#Headers],[CCCM]:[WASH]],0))))</f>
        <v>#DIV/0!</v>
      </c>
      <c r="E9" s="64">
        <f>IF(OR($A9=E$3,E$3="",$A9=""),"",CORREL(INDEX(tblPiNAnalysis[[CCCM]:[WASH]],0,MATCH(E$3,tblPiNAnalysis[[#Headers],[CCCM]:[WASH]],0)),INDEX(tblPiNAnalysis[[CCCM]:[WASH]],0,MATCH($A9,tblPiNAnalysis[[#Headers],[CCCM]:[WASH]],0))))</f>
        <v>0.79856097906927181</v>
      </c>
      <c r="F9" s="64">
        <f>IF(OR($A9=F$3,F$3="",$A9=""),"",CORREL(INDEX(tblPiNAnalysis[[CCCM]:[WASH]],0,MATCH(F$3,tblPiNAnalysis[[#Headers],[CCCM]:[WASH]],0)),INDEX(tblPiNAnalysis[[CCCM]:[WASH]],0,MATCH($A9,tblPiNAnalysis[[#Headers],[CCCM]:[WASH]],0))))</f>
        <v>0.92037571217306091</v>
      </c>
      <c r="G9" s="64" t="str">
        <f>IF(OR($A9=G$3,G$3="",$A9=""),"",CORREL(INDEX(tblPiNAnalysis[[CCCM]:[WASH]],0,MATCH(G$3,tblPiNAnalysis[[#Headers],[CCCM]:[WASH]],0)),INDEX(tblPiNAnalysis[[CCCM]:[WASH]],0,MATCH($A9,tblPiNAnalysis[[#Headers],[CCCM]:[WASH]],0))))</f>
        <v/>
      </c>
      <c r="H9" s="64"/>
      <c r="I9" s="62"/>
      <c r="J9" s="62"/>
      <c r="K9" s="62"/>
      <c r="L9" s="62"/>
      <c r="M9" s="68"/>
      <c r="N9" s="67" t="str">
        <v>Nutrition</v>
      </c>
      <c r="O9" s="64">
        <f>IF(OR($N9=O$3,O$3="",$N9=""),"",CORREL(INDEX(tblSeverityAnalysis[[CCCM]:[WASH]],0,MATCH(O$3,tblSeverityAnalysis[[#Headers],[CCCM]:[WASH]],0)),INDEX(tblSeverityAnalysis[[CCCM]:[WASH]],0,MATCH($N9,tblSeverityAnalysis[[#Headers],[CCCM]:[WASH]],0))))</f>
        <v>0.17067017527556566</v>
      </c>
      <c r="P9" s="64">
        <f>IF(OR($N9=P$3,P$3="",$N9=""),"",CORREL(INDEX(tblSeverityAnalysis[[CCCM]:[WASH]],0,MATCH(P$3,tblSeverityAnalysis[[#Headers],[CCCM]:[WASH]],0)),INDEX(tblSeverityAnalysis[[CCCM]:[WASH]],0,MATCH($N9,tblSeverityAnalysis[[#Headers],[CCCM]:[WASH]],0))))</f>
        <v>0.26636411940564353</v>
      </c>
      <c r="Q9" s="64" t="e">
        <f>IF(OR($N9=Q$3,Q$3="",$N9=""),"",CORREL(INDEX(tblSeverityAnalysis[[CCCM]:[WASH]],0,MATCH(Q$3,tblSeverityAnalysis[[#Headers],[CCCM]:[WASH]],0)),INDEX(tblSeverityAnalysis[[CCCM]:[WASH]],0,MATCH($N9,tblSeverityAnalysis[[#Headers],[CCCM]:[WASH]],0))))</f>
        <v>#DIV/0!</v>
      </c>
      <c r="R9" s="64">
        <f>IF(OR($N9=R$3,R$3="",$N9=""),"",CORREL(INDEX(tblSeverityAnalysis[[CCCM]:[WASH]],0,MATCH(R$3,tblSeverityAnalysis[[#Headers],[CCCM]:[WASH]],0)),INDEX(tblSeverityAnalysis[[CCCM]:[WASH]],0,MATCH($N9,tblSeverityAnalysis[[#Headers],[CCCM]:[WASH]],0))))</f>
        <v>0.26150468775537289</v>
      </c>
      <c r="S9" s="64">
        <f>IF(OR($N9=S$3,S$3="",$N9=""),"",CORREL(INDEX(tblSeverityAnalysis[[CCCM]:[WASH]],0,MATCH(S$3,tblSeverityAnalysis[[#Headers],[CCCM]:[WASH]],0)),INDEX(tblSeverityAnalysis[[CCCM]:[WASH]],0,MATCH($N9,tblSeverityAnalysis[[#Headers],[CCCM]:[WASH]],0))))</f>
        <v>0.51729601606366427</v>
      </c>
      <c r="T9" s="64" t="str">
        <f>IF(OR($N9=T$3,T$3="",$N9=""),"",CORREL(INDEX(tblSeverityAnalysis[[CCCM]:[WASH]],0,MATCH(T$3,tblSeverityAnalysis[[#Headers],[CCCM]:[WASH]],0)),INDEX(tblSeverityAnalysis[[CCCM]:[WASH]],0,MATCH($N9,tblSeverityAnalysis[[#Headers],[CCCM]:[WASH]],0))))</f>
        <v/>
      </c>
      <c r="U9" s="64"/>
      <c r="V9" s="62"/>
      <c r="W9" s="62"/>
      <c r="X9" s="62"/>
      <c r="Y9" s="62"/>
    </row>
    <row r="10" spans="1:25" ht="37.5" customHeight="1" x14ac:dyDescent="0.55000000000000004">
      <c r="A10" s="67" t="str">
        <v>Overarching Protection</v>
      </c>
      <c r="B10" s="64">
        <f>IF(OR($A10=B$3,B$3="",$A10=""),"",CORREL(INDEX(tblPiNAnalysis[[CCCM]:[WASH]],0,MATCH(B$3,tblPiNAnalysis[[#Headers],[CCCM]:[WASH]],0)),INDEX(tblPiNAnalysis[[CCCM]:[WASH]],0,MATCH($A10,tblPiNAnalysis[[#Headers],[CCCM]:[WASH]],0))))</f>
        <v>0.81066221694263851</v>
      </c>
      <c r="C10" s="64">
        <f>IF(OR($A10=C$3,C$3="",$A10=""),"",CORREL(INDEX(tblPiNAnalysis[[CCCM]:[WASH]],0,MATCH(C$3,tblPiNAnalysis[[#Headers],[CCCM]:[WASH]],0)),INDEX(tblPiNAnalysis[[CCCM]:[WASH]],0,MATCH($A10,tblPiNAnalysis[[#Headers],[CCCM]:[WASH]],0))))</f>
        <v>0.59396178336496519</v>
      </c>
      <c r="D10" s="64" t="e">
        <f>IF(OR($A10=D$3,D$3="",$A10=""),"",CORREL(INDEX(tblPiNAnalysis[[CCCM]:[WASH]],0,MATCH(D$3,tblPiNAnalysis[[#Headers],[CCCM]:[WASH]],0)),INDEX(tblPiNAnalysis[[CCCM]:[WASH]],0,MATCH($A10,tblPiNAnalysis[[#Headers],[CCCM]:[WASH]],0))))</f>
        <v>#DIV/0!</v>
      </c>
      <c r="E10" s="64">
        <f>IF(OR($A10=E$3,E$3="",$A10=""),"",CORREL(INDEX(tblPiNAnalysis[[CCCM]:[WASH]],0,MATCH(E$3,tblPiNAnalysis[[#Headers],[CCCM]:[WASH]],0)),INDEX(tblPiNAnalysis[[CCCM]:[WASH]],0,MATCH($A10,tblPiNAnalysis[[#Headers],[CCCM]:[WASH]],0))))</f>
        <v>0.63630996197826717</v>
      </c>
      <c r="F10" s="64">
        <f>IF(OR($A10=F$3,F$3="",$A10=""),"",CORREL(INDEX(tblPiNAnalysis[[CCCM]:[WASH]],0,MATCH(F$3,tblPiNAnalysis[[#Headers],[CCCM]:[WASH]],0)),INDEX(tblPiNAnalysis[[CCCM]:[WASH]],0,MATCH($A10,tblPiNAnalysis[[#Headers],[CCCM]:[WASH]],0))))</f>
        <v>0.70751205892842295</v>
      </c>
      <c r="G10" s="64">
        <f>IF(OR($A10=G$3,G$3="",$A10=""),"",CORREL(INDEX(tblPiNAnalysis[[CCCM]:[WASH]],0,MATCH(G$3,tblPiNAnalysis[[#Headers],[CCCM]:[WASH]],0)),INDEX(tblPiNAnalysis[[CCCM]:[WASH]],0,MATCH($A10,tblPiNAnalysis[[#Headers],[CCCM]:[WASH]],0))))</f>
        <v>0.59570900588797171</v>
      </c>
      <c r="H10" s="64" t="str">
        <f>IF(OR($A10=H$3,H$3="",$A10=""),"",CORREL(INDEX(tblPiNAnalysis[[CCCM]:[WASH]],0,MATCH(H$3,tblPiNAnalysis[[#Headers],[CCCM]:[WASH]],0)),INDEX(tblPiNAnalysis[[CCCM]:[WASH]],0,MATCH($A10,tblPiNAnalysis[[#Headers],[CCCM]:[WASH]],0))))</f>
        <v/>
      </c>
      <c r="I10" s="62"/>
      <c r="J10" s="62"/>
      <c r="K10" s="62"/>
      <c r="L10" s="62"/>
      <c r="M10" s="68"/>
      <c r="N10" s="67" t="str">
        <v>Overarching Protection</v>
      </c>
      <c r="O10" s="64">
        <f>IF(OR($N10=O$3,O$3="",$N10=""),"",CORREL(INDEX(tblSeverityAnalysis[[CCCM]:[WASH]],0,MATCH(O$3,tblSeverityAnalysis[[#Headers],[CCCM]:[WASH]],0)),INDEX(tblSeverityAnalysis[[CCCM]:[WASH]],0,MATCH($N10,tblSeverityAnalysis[[#Headers],[CCCM]:[WASH]],0))))</f>
        <v>-4.6709698855466044E-3</v>
      </c>
      <c r="P10" s="64">
        <f>IF(OR($N10=P$3,P$3="",$N10=""),"",CORREL(INDEX(tblSeverityAnalysis[[CCCM]:[WASH]],0,MATCH(P$3,tblSeverityAnalysis[[#Headers],[CCCM]:[WASH]],0)),INDEX(tblSeverityAnalysis[[CCCM]:[WASH]],0,MATCH($N10,tblSeverityAnalysis[[#Headers],[CCCM]:[WASH]],0))))</f>
        <v>0.28468366525238975</v>
      </c>
      <c r="Q10" s="64" t="e">
        <f>IF(OR($N10=Q$3,Q$3="",$N10=""),"",CORREL(INDEX(tblSeverityAnalysis[[CCCM]:[WASH]],0,MATCH(Q$3,tblSeverityAnalysis[[#Headers],[CCCM]:[WASH]],0)),INDEX(tblSeverityAnalysis[[CCCM]:[WASH]],0,MATCH($N10,tblSeverityAnalysis[[#Headers],[CCCM]:[WASH]],0))))</f>
        <v>#DIV/0!</v>
      </c>
      <c r="R10" s="64">
        <f>IF(OR($N10=R$3,R$3="",$N10=""),"",CORREL(INDEX(tblSeverityAnalysis[[CCCM]:[WASH]],0,MATCH(R$3,tblSeverityAnalysis[[#Headers],[CCCM]:[WASH]],0)),INDEX(tblSeverityAnalysis[[CCCM]:[WASH]],0,MATCH($N10,tblSeverityAnalysis[[#Headers],[CCCM]:[WASH]],0))))</f>
        <v>-3.8345125475971624E-2</v>
      </c>
      <c r="S10" s="64">
        <f>IF(OR($N10=S$3,S$3="",$N10=""),"",CORREL(INDEX(tblSeverityAnalysis[[CCCM]:[WASH]],0,MATCH(S$3,tblSeverityAnalysis[[#Headers],[CCCM]:[WASH]],0)),INDEX(tblSeverityAnalysis[[CCCM]:[WASH]],0,MATCH($N10,tblSeverityAnalysis[[#Headers],[CCCM]:[WASH]],0))))</f>
        <v>0.33455038604220433</v>
      </c>
      <c r="T10" s="64">
        <f>IF(OR($N10=T$3,T$3="",$N10=""),"",CORREL(INDEX(tblSeverityAnalysis[[CCCM]:[WASH]],0,MATCH(T$3,tblSeverityAnalysis[[#Headers],[CCCM]:[WASH]],0)),INDEX(tblSeverityAnalysis[[CCCM]:[WASH]],0,MATCH($N10,tblSeverityAnalysis[[#Headers],[CCCM]:[WASH]],0))))</f>
        <v>0.37777460243776562</v>
      </c>
      <c r="U10" s="64" t="str">
        <f>IF(OR($N10=U$3,U$3="",$N10=""),"",CORREL(INDEX(tblSeverityAnalysis[[CCCM]:[WASH]],0,MATCH(U$3,tblSeverityAnalysis[[#Headers],[CCCM]:[WASH]],0)),INDEX(tblSeverityAnalysis[[CCCM]:[WASH]],0,MATCH($N10,tblSeverityAnalysis[[#Headers],[CCCM]:[WASH]],0))))</f>
        <v/>
      </c>
      <c r="V10" s="62"/>
      <c r="W10" s="62"/>
      <c r="X10" s="62"/>
      <c r="Y10" s="62"/>
    </row>
    <row r="11" spans="1:25" ht="37.5" customHeight="1" x14ac:dyDescent="0.55000000000000004">
      <c r="A11" s="67" t="str">
        <v>Shelter</v>
      </c>
      <c r="B11" s="64">
        <f>IF(OR($A11=B$3,B$3="",$A11=""),"",CORREL(INDEX(tblPiNAnalysis[[CCCM]:[WASH]],0,MATCH(B$3,tblPiNAnalysis[[#Headers],[CCCM]:[WASH]],0)),INDEX(tblPiNAnalysis[[CCCM]:[WASH]],0,MATCH($A11,tblPiNAnalysis[[#Headers],[CCCM]:[WASH]],0))))</f>
        <v>0.67459496378371842</v>
      </c>
      <c r="C11" s="64">
        <f>IF(OR($A11=C$3,C$3="",$A11=""),"",CORREL(INDEX(tblPiNAnalysis[[CCCM]:[WASH]],0,MATCH(C$3,tblPiNAnalysis[[#Headers],[CCCM]:[WASH]],0)),INDEX(tblPiNAnalysis[[CCCM]:[WASH]],0,MATCH($A11,tblPiNAnalysis[[#Headers],[CCCM]:[WASH]],0))))</f>
        <v>0.60349060620572814</v>
      </c>
      <c r="D11" s="64" t="e">
        <f>IF(OR($A11=D$3,D$3="",$A11=""),"",CORREL(INDEX(tblPiNAnalysis[[CCCM]:[WASH]],0,MATCH(D$3,tblPiNAnalysis[[#Headers],[CCCM]:[WASH]],0)),INDEX(tblPiNAnalysis[[CCCM]:[WASH]],0,MATCH($A11,tblPiNAnalysis[[#Headers],[CCCM]:[WASH]],0))))</f>
        <v>#DIV/0!</v>
      </c>
      <c r="E11" s="64">
        <f>IF(OR($A11=E$3,E$3="",$A11=""),"",CORREL(INDEX(tblPiNAnalysis[[CCCM]:[WASH]],0,MATCH(E$3,tblPiNAnalysis[[#Headers],[CCCM]:[WASH]],0)),INDEX(tblPiNAnalysis[[CCCM]:[WASH]],0,MATCH($A11,tblPiNAnalysis[[#Headers],[CCCM]:[WASH]],0))))</f>
        <v>0.66299759793235491</v>
      </c>
      <c r="F11" s="64">
        <f>IF(OR($A11=F$3,F$3="",$A11=""),"",CORREL(INDEX(tblPiNAnalysis[[CCCM]:[WASH]],0,MATCH(F$3,tblPiNAnalysis[[#Headers],[CCCM]:[WASH]],0)),INDEX(tblPiNAnalysis[[CCCM]:[WASH]],0,MATCH($A11,tblPiNAnalysis[[#Headers],[CCCM]:[WASH]],0))))</f>
        <v>0.73611545958766911</v>
      </c>
      <c r="G11" s="64">
        <f>IF(OR($A11=G$3,G$3="",$A11=""),"",CORREL(INDEX(tblPiNAnalysis[[CCCM]:[WASH]],0,MATCH(G$3,tblPiNAnalysis[[#Headers],[CCCM]:[WASH]],0)),INDEX(tblPiNAnalysis[[CCCM]:[WASH]],0,MATCH($A11,tblPiNAnalysis[[#Headers],[CCCM]:[WASH]],0))))</f>
        <v>0.61280918538738494</v>
      </c>
      <c r="H11" s="64">
        <f>IF(OR($A11=H$3,H$3="",$A11=""),"",CORREL(INDEX(tblPiNAnalysis[[CCCM]:[WASH]],0,MATCH(H$3,tblPiNAnalysis[[#Headers],[CCCM]:[WASH]],0)),INDEX(tblPiNAnalysis[[CCCM]:[WASH]],0,MATCH($A11,tblPiNAnalysis[[#Headers],[CCCM]:[WASH]],0))))</f>
        <v>0.72138255677767327</v>
      </c>
      <c r="I11" s="62" t="str">
        <f>IF(OR($A11=I$3,I$3="",$A11=""),"",CORREL(INDEX(tblPiNAnalysis[[CCCM]:[WASH]],0,MATCH(I$3,tblPiNAnalysis[[#Headers],[CCCM]:[WASH]],0)),INDEX(tblPiNAnalysis[[CCCM]:[WASH]],0,MATCH($A11,tblPiNAnalysis[[#Headers],[CCCM]:[WASH]],0))))</f>
        <v/>
      </c>
      <c r="J11" s="62"/>
      <c r="K11" s="62"/>
      <c r="L11" s="62"/>
      <c r="M11" s="68"/>
      <c r="N11" s="67" t="str">
        <v>Shelter</v>
      </c>
      <c r="O11" s="64">
        <f>IF(OR($N11=O$3,O$3="",$N11=""),"",CORREL(INDEX(tblSeverityAnalysis[[CCCM]:[WASH]],0,MATCH(O$3,tblSeverityAnalysis[[#Headers],[CCCM]:[WASH]],0)),INDEX(tblSeverityAnalysis[[CCCM]:[WASH]],0,MATCH($N11,tblSeverityAnalysis[[#Headers],[CCCM]:[WASH]],0))))</f>
        <v>0.40453791259229988</v>
      </c>
      <c r="P11" s="64">
        <f>IF(OR($N11=P$3,P$3="",$N11=""),"",CORREL(INDEX(tblSeverityAnalysis[[CCCM]:[WASH]],0,MATCH(P$3,tblSeverityAnalysis[[#Headers],[CCCM]:[WASH]],0)),INDEX(tblSeverityAnalysis[[CCCM]:[WASH]],0,MATCH($N11,tblSeverityAnalysis[[#Headers],[CCCM]:[WASH]],0))))</f>
        <v>-0.22866577470078961</v>
      </c>
      <c r="Q11" s="64" t="e">
        <f>IF(OR($N11=Q$3,Q$3="",$N11=""),"",CORREL(INDEX(tblSeverityAnalysis[[CCCM]:[WASH]],0,MATCH(Q$3,tblSeverityAnalysis[[#Headers],[CCCM]:[WASH]],0)),INDEX(tblSeverityAnalysis[[CCCM]:[WASH]],0,MATCH($N11,tblSeverityAnalysis[[#Headers],[CCCM]:[WASH]],0))))</f>
        <v>#DIV/0!</v>
      </c>
      <c r="R11" s="64">
        <f>IF(OR($N11=R$3,R$3="",$N11=""),"",CORREL(INDEX(tblSeverityAnalysis[[CCCM]:[WASH]],0,MATCH(R$3,tblSeverityAnalysis[[#Headers],[CCCM]:[WASH]],0)),INDEX(tblSeverityAnalysis[[CCCM]:[WASH]],0,MATCH($N11,tblSeverityAnalysis[[#Headers],[CCCM]:[WASH]],0))))</f>
        <v>-0.24751672062778571</v>
      </c>
      <c r="S11" s="64">
        <f>IF(OR($N11=S$3,S$3="",$N11=""),"",CORREL(INDEX(tblSeverityAnalysis[[CCCM]:[WASH]],0,MATCH(S$3,tblSeverityAnalysis[[#Headers],[CCCM]:[WASH]],0)),INDEX(tblSeverityAnalysis[[CCCM]:[WASH]],0,MATCH($N11,tblSeverityAnalysis[[#Headers],[CCCM]:[WASH]],0))))</f>
        <v>-5.0273596906585803E-2</v>
      </c>
      <c r="T11" s="64">
        <f>IF(OR($N11=T$3,T$3="",$N11=""),"",CORREL(INDEX(tblSeverityAnalysis[[CCCM]:[WASH]],0,MATCH(T$3,tblSeverityAnalysis[[#Headers],[CCCM]:[WASH]],0)),INDEX(tblSeverityAnalysis[[CCCM]:[WASH]],0,MATCH($N11,tblSeverityAnalysis[[#Headers],[CCCM]:[WASH]],0))))</f>
        <v>7.9981736170823894E-2</v>
      </c>
      <c r="U11" s="64">
        <f>IF(OR($N11=U$3,U$3="",$N11=""),"",CORREL(INDEX(tblSeverityAnalysis[[CCCM]:[WASH]],0,MATCH(U$3,tblSeverityAnalysis[[#Headers],[CCCM]:[WASH]],0)),INDEX(tblSeverityAnalysis[[CCCM]:[WASH]],0,MATCH($N11,tblSeverityAnalysis[[#Headers],[CCCM]:[WASH]],0))))</f>
        <v>0.13741881474742029</v>
      </c>
      <c r="V11" s="62" t="str">
        <f>IF(OR($A11=V$3,V$3="",$A11=""),"",CORREL(INDEX(tblPiNAnalysis[[CCCM]:[WASH]],0,MATCH(V$3,tblPiNAnalysis[[#Headers],[CCCM]:[WASH]],0)),INDEX(tblPiNAnalysis[[CCCM]:[WASH]],0,MATCH($A11,tblPiNAnalysis[[#Headers],[CCCM]:[WASH]],0))))</f>
        <v/>
      </c>
      <c r="W11" s="62"/>
      <c r="X11" s="62"/>
      <c r="Y11" s="62"/>
    </row>
    <row r="12" spans="1:25" ht="37.5" customHeight="1" x14ac:dyDescent="0.55000000000000004">
      <c r="A12" s="67" t="str">
        <v>WASH</v>
      </c>
      <c r="B12" s="64">
        <f>IF(OR($A12=B$3,B$3="",$A12=""),"",CORREL(INDEX(tblPiNAnalysis[[CCCM]:[WASH]],0,MATCH(B$3,tblPiNAnalysis[[#Headers],[CCCM]:[WASH]],0)),INDEX(tblPiNAnalysis[[CCCM]:[WASH]],0,MATCH($A12,tblPiNAnalysis[[#Headers],[CCCM]:[WASH]],0))))</f>
        <v>0.86714759172409639</v>
      </c>
      <c r="C12" s="64">
        <f>IF(OR($A12=C$3,C$3="",$A12=""),"",CORREL(INDEX(tblPiNAnalysis[[CCCM]:[WASH]],0,MATCH(C$3,tblPiNAnalysis[[#Headers],[CCCM]:[WASH]],0)),INDEX(tblPiNAnalysis[[CCCM]:[WASH]],0,MATCH($A12,tblPiNAnalysis[[#Headers],[CCCM]:[WASH]],0))))</f>
        <v>0.59790964970046923</v>
      </c>
      <c r="D12" s="64" t="e">
        <f>IF(OR($A12=D$3,D$3="",$A12=""),"",CORREL(INDEX(tblPiNAnalysis[[CCCM]:[WASH]],0,MATCH(D$3,tblPiNAnalysis[[#Headers],[CCCM]:[WASH]],0)),INDEX(tblPiNAnalysis[[CCCM]:[WASH]],0,MATCH($A12,tblPiNAnalysis[[#Headers],[CCCM]:[WASH]],0))))</f>
        <v>#DIV/0!</v>
      </c>
      <c r="E12" s="64">
        <f>IF(OR($A12=E$3,E$3="",$A12=""),"",CORREL(INDEX(tblPiNAnalysis[[CCCM]:[WASH]],0,MATCH(E$3,tblPiNAnalysis[[#Headers],[CCCM]:[WASH]],0)),INDEX(tblPiNAnalysis[[CCCM]:[WASH]],0,MATCH($A12,tblPiNAnalysis[[#Headers],[CCCM]:[WASH]],0))))</f>
        <v>0.72088894995370534</v>
      </c>
      <c r="F12" s="64">
        <f>IF(OR($A12=F$3,F$3="",$A12=""),"",CORREL(INDEX(tblPiNAnalysis[[CCCM]:[WASH]],0,MATCH(F$3,tblPiNAnalysis[[#Headers],[CCCM]:[WASH]],0)),INDEX(tblPiNAnalysis[[CCCM]:[WASH]],0,MATCH($A12,tblPiNAnalysis[[#Headers],[CCCM]:[WASH]],0))))</f>
        <v>0.78065375425713057</v>
      </c>
      <c r="G12" s="64">
        <f>IF(OR($A12=G$3,G$3="",$A12=""),"",CORREL(INDEX(tblPiNAnalysis[[CCCM]:[WASH]],0,MATCH(G$3,tblPiNAnalysis[[#Headers],[CCCM]:[WASH]],0)),INDEX(tblPiNAnalysis[[CCCM]:[WASH]],0,MATCH($A12,tblPiNAnalysis[[#Headers],[CCCM]:[WASH]],0))))</f>
        <v>0.64310301147254301</v>
      </c>
      <c r="H12" s="64">
        <f>IF(OR($A12=H$3,H$3="",$A12=""),"",CORREL(INDEX(tblPiNAnalysis[[CCCM]:[WASH]],0,MATCH(H$3,tblPiNAnalysis[[#Headers],[CCCM]:[WASH]],0)),INDEX(tblPiNAnalysis[[CCCM]:[WASH]],0,MATCH($A12,tblPiNAnalysis[[#Headers],[CCCM]:[WASH]],0))))</f>
        <v>0.83496712054095323</v>
      </c>
      <c r="I12" s="62">
        <f>IF(OR($A12=I$3,I$3="",$A12=""),"",CORREL(INDEX(tblPiNAnalysis[[CCCM]:[WASH]],0,MATCH(I$3,tblPiNAnalysis[[#Headers],[CCCM]:[WASH]],0)),INDEX(tblPiNAnalysis[[CCCM]:[WASH]],0,MATCH($A12,tblPiNAnalysis[[#Headers],[CCCM]:[WASH]],0))))</f>
        <v>0.70614072139496775</v>
      </c>
      <c r="J12" s="62" t="str">
        <f>IF(OR($A12=J$3,J$3="",$A12=""),"",CORREL(INDEX(tblPiNAnalysis[[CCCM]:[WASH]],0,MATCH(J$3,tblPiNAnalysis[[#Headers],[CCCM]:[WASH]],0)),INDEX(tblPiNAnalysis[[CCCM]:[WASH]],0,MATCH($A12,tblPiNAnalysis[[#Headers],[CCCM]:[WASH]],0))))</f>
        <v/>
      </c>
      <c r="K12" s="62"/>
      <c r="L12" s="62"/>
      <c r="M12" s="68"/>
      <c r="N12" s="67" t="str">
        <v>WASH</v>
      </c>
      <c r="O12" s="64">
        <f>IF(OR($N12=O$3,O$3="",$N12=""),"",CORREL(INDEX(tblSeverityAnalysis[[CCCM]:[WASH]],0,MATCH(O$3,tblSeverityAnalysis[[#Headers],[CCCM]:[WASH]],0)),INDEX(tblSeverityAnalysis[[CCCM]:[WASH]],0,MATCH($N12,tblSeverityAnalysis[[#Headers],[CCCM]:[WASH]],0))))</f>
        <v>0.10427947410442912</v>
      </c>
      <c r="P12" s="64">
        <f>IF(OR($N12=P$3,P$3="",$N12=""),"",CORREL(INDEX(tblSeverityAnalysis[[CCCM]:[WASH]],0,MATCH(P$3,tblSeverityAnalysis[[#Headers],[CCCM]:[WASH]],0)),INDEX(tblSeverityAnalysis[[CCCM]:[WASH]],0,MATCH($N12,tblSeverityAnalysis[[#Headers],[CCCM]:[WASH]],0))))</f>
        <v>0.22574724286203715</v>
      </c>
      <c r="Q12" s="64" t="e">
        <f>IF(OR($N12=Q$3,Q$3="",$N12=""),"",CORREL(INDEX(tblSeverityAnalysis[[CCCM]:[WASH]],0,MATCH(Q$3,tblSeverityAnalysis[[#Headers],[CCCM]:[WASH]],0)),INDEX(tblSeverityAnalysis[[CCCM]:[WASH]],0,MATCH($N12,tblSeverityAnalysis[[#Headers],[CCCM]:[WASH]],0))))</f>
        <v>#DIV/0!</v>
      </c>
      <c r="R12" s="64">
        <f>IF(OR($N12=R$3,R$3="",$N12=""),"",CORREL(INDEX(tblSeverityAnalysis[[CCCM]:[WASH]],0,MATCH(R$3,tblSeverityAnalysis[[#Headers],[CCCM]:[WASH]],0)),INDEX(tblSeverityAnalysis[[CCCM]:[WASH]],0,MATCH($N12,tblSeverityAnalysis[[#Headers],[CCCM]:[WASH]],0))))</f>
        <v>0.25800507914101961</v>
      </c>
      <c r="S12" s="64">
        <f>IF(OR($N12=S$3,S$3="",$N12=""),"",CORREL(INDEX(tblSeverityAnalysis[[CCCM]:[WASH]],0,MATCH(S$3,tblSeverityAnalysis[[#Headers],[CCCM]:[WASH]],0)),INDEX(tblSeverityAnalysis[[CCCM]:[WASH]],0,MATCH($N12,tblSeverityAnalysis[[#Headers],[CCCM]:[WASH]],0))))</f>
        <v>0.24783209382427579</v>
      </c>
      <c r="T12" s="64">
        <f>IF(OR($N12=T$3,T$3="",$N12=""),"",CORREL(INDEX(tblSeverityAnalysis[[CCCM]:[WASH]],0,MATCH(T$3,tblSeverityAnalysis[[#Headers],[CCCM]:[WASH]],0)),INDEX(tblSeverityAnalysis[[CCCM]:[WASH]],0,MATCH($N12,tblSeverityAnalysis[[#Headers],[CCCM]:[WASH]],0))))</f>
        <v>0.3113762404609336</v>
      </c>
      <c r="U12" s="64">
        <f>IF(OR($N12=U$3,U$3="",$N12=""),"",CORREL(INDEX(tblSeverityAnalysis[[CCCM]:[WASH]],0,MATCH(U$3,tblSeverityAnalysis[[#Headers],[CCCM]:[WASH]],0)),INDEX(tblSeverityAnalysis[[CCCM]:[WASH]],0,MATCH($N12,tblSeverityAnalysis[[#Headers],[CCCM]:[WASH]],0))))</f>
        <v>0.55455664707020758</v>
      </c>
      <c r="V12" s="62">
        <f>IF(OR($A12=V$3,V$3="",$A12=""),"",CORREL(INDEX(tblPiNAnalysis[[CCCM]:[WASH]],0,MATCH(V$3,tblPiNAnalysis[[#Headers],[CCCM]:[WASH]],0)),INDEX(tblPiNAnalysis[[CCCM]:[WASH]],0,MATCH($A12,tblPiNAnalysis[[#Headers],[CCCM]:[WASH]],0))))</f>
        <v>0.70614072139496775</v>
      </c>
      <c r="W12" s="62" t="str">
        <f>IF(OR($A12=W$3,W$3="",$A12=""),"",CORREL(INDEX(tblPiNAnalysis[[CCCM]:[WASH]],0,MATCH(W$3,tblPiNAnalysis[[#Headers],[CCCM]:[WASH]],0)),INDEX(tblPiNAnalysis[[CCCM]:[WASH]],0,MATCH($A12,tblPiNAnalysis[[#Headers],[CCCM]:[WASH]],0))))</f>
        <v/>
      </c>
      <c r="X12" s="62"/>
      <c r="Y12" s="62"/>
    </row>
    <row r="13" spans="1:25" ht="37.5" customHeight="1" x14ac:dyDescent="0.55000000000000004">
      <c r="A13" s="67"/>
      <c r="B13" s="64" t="str">
        <f>IF(OR($A13=B$3,B$3="",$A13=""),"",CORREL(INDEX(tblPiNAnalysis[[CCCM]:[WASH]],0,MATCH(B$3,tblPiNAnalysis[[#Headers],[CCCM]:[WASH]],0)),INDEX(tblPiNAnalysis[[CCCM]:[WASH]],0,MATCH($A13,tblPiNAnalysis[[#Headers],[CCCM]:[WASH]],0))))</f>
        <v/>
      </c>
      <c r="C13" s="64" t="str">
        <f>IF(OR($A13=C$3,C$3="",$A13=""),"",CORREL(INDEX(tblPiNAnalysis[[CCCM]:[WASH]],0,MATCH(C$3,tblPiNAnalysis[[#Headers],[CCCM]:[WASH]],0)),INDEX(tblPiNAnalysis[[CCCM]:[WASH]],0,MATCH($A13,tblPiNAnalysis[[#Headers],[CCCM]:[WASH]],0))))</f>
        <v/>
      </c>
      <c r="D13" s="64" t="str">
        <f>IF(OR($A13=D$3,D$3="",$A13=""),"",CORREL(INDEX(tblPiNAnalysis[[CCCM]:[WASH]],0,MATCH(D$3,tblPiNAnalysis[[#Headers],[CCCM]:[WASH]],0)),INDEX(tblPiNAnalysis[[CCCM]:[WASH]],0,MATCH($A13,tblPiNAnalysis[[#Headers],[CCCM]:[WASH]],0))))</f>
        <v/>
      </c>
      <c r="E13" s="64" t="str">
        <f>IF(OR($A13=E$3,E$3="",$A13=""),"",CORREL(INDEX(tblPiNAnalysis[[CCCM]:[WASH]],0,MATCH(E$3,tblPiNAnalysis[[#Headers],[CCCM]:[WASH]],0)),INDEX(tblPiNAnalysis[[CCCM]:[WASH]],0,MATCH($A13,tblPiNAnalysis[[#Headers],[CCCM]:[WASH]],0))))</f>
        <v/>
      </c>
      <c r="F13" s="64" t="str">
        <f>IF(OR($A13=F$3,F$3="",$A13=""),"",CORREL(INDEX(tblPiNAnalysis[[CCCM]:[WASH]],0,MATCH(F$3,tblPiNAnalysis[[#Headers],[CCCM]:[WASH]],0)),INDEX(tblPiNAnalysis[[CCCM]:[WASH]],0,MATCH($A13,tblPiNAnalysis[[#Headers],[CCCM]:[WASH]],0))))</f>
        <v/>
      </c>
      <c r="G13" s="64" t="str">
        <f>IF(OR($A13=G$3,G$3="",$A13=""),"",CORREL(INDEX(tblPiNAnalysis[[CCCM]:[WASH]],0,MATCH(G$3,tblPiNAnalysis[[#Headers],[CCCM]:[WASH]],0)),INDEX(tblPiNAnalysis[[CCCM]:[WASH]],0,MATCH($A13,tblPiNAnalysis[[#Headers],[CCCM]:[WASH]],0))))</f>
        <v/>
      </c>
      <c r="H13" s="64" t="str">
        <f>IF(OR($A13=H$3,H$3="",$A13=""),"",CORREL(INDEX(tblPiNAnalysis[[CCCM]:[WASH]],0,MATCH(H$3,tblPiNAnalysis[[#Headers],[CCCM]:[WASH]],0)),INDEX(tblPiNAnalysis[[CCCM]:[WASH]],0,MATCH($A13,tblPiNAnalysis[[#Headers],[CCCM]:[WASH]],0))))</f>
        <v/>
      </c>
      <c r="I13" s="62" t="str">
        <f>IF(OR($A13=I$3,I$3="",$A13=""),"",CORREL(INDEX(tblPiNAnalysis[[CCCM]:[WASH]],0,MATCH(I$3,tblPiNAnalysis[[#Headers],[CCCM]:[WASH]],0)),INDEX(tblPiNAnalysis[[CCCM]:[WASH]],0,MATCH($A13,tblPiNAnalysis[[#Headers],[CCCM]:[WASH]],0))))</f>
        <v/>
      </c>
      <c r="J13" s="62" t="str">
        <f>IF(OR($A13=J$3,J$3="",$A13=""),"",CORREL(INDEX(tblPiNAnalysis[[CCCM]:[WASH]],0,MATCH(J$3,tblPiNAnalysis[[#Headers],[CCCM]:[WASH]],0)),INDEX(tblPiNAnalysis[[CCCM]:[WASH]],0,MATCH($A13,tblPiNAnalysis[[#Headers],[CCCM]:[WASH]],0))))</f>
        <v/>
      </c>
      <c r="K13" s="62" t="str">
        <f>IF(OR($A13=K$3,K$3="",$A13=""),"",CORREL(INDEX(tblPiNAnalysis[[CCCM]:[WASH]],0,MATCH(K$3,tblPiNAnalysis[[#Headers],[CCCM]:[WASH]],0)),INDEX(tblPiNAnalysis[[CCCM]:[WASH]],0,MATCH($A13,tblPiNAnalysis[[#Headers],[CCCM]:[WASH]],0))))</f>
        <v/>
      </c>
      <c r="L13" s="62"/>
      <c r="M13" s="68"/>
      <c r="N13" s="67"/>
      <c r="O13" s="64" t="str">
        <f>IF(OR($N13=O$3,O$3="",$N13=""),"",CORREL(INDEX(tblSeverityAnalysis[[CCCM]:[WASH]],0,MATCH(O$3,tblSeverityAnalysis[[#Headers],[CCCM]:[WASH]],0)),INDEX(tblSeverityAnalysis[[CCCM]:[WASH]],0,MATCH($N13,tblSeverityAnalysis[[#Headers],[CCCM]:[WASH]],0))))</f>
        <v/>
      </c>
      <c r="P13" s="64" t="str">
        <f>IF(OR($N13=P$3,P$3="",$N13=""),"",CORREL(INDEX(tblSeverityAnalysis[[CCCM]:[WASH]],0,MATCH(P$3,tblSeverityAnalysis[[#Headers],[CCCM]:[WASH]],0)),INDEX(tblSeverityAnalysis[[CCCM]:[WASH]],0,MATCH($N13,tblSeverityAnalysis[[#Headers],[CCCM]:[WASH]],0))))</f>
        <v/>
      </c>
      <c r="Q13" s="64" t="str">
        <f>IF(OR($N13=Q$3,Q$3="",$N13=""),"",CORREL(INDEX(tblSeverityAnalysis[[CCCM]:[WASH]],0,MATCH(Q$3,tblSeverityAnalysis[[#Headers],[CCCM]:[WASH]],0)),INDEX(tblSeverityAnalysis[[CCCM]:[WASH]],0,MATCH($N13,tblSeverityAnalysis[[#Headers],[CCCM]:[WASH]],0))))</f>
        <v/>
      </c>
      <c r="R13" s="64" t="str">
        <f>IF(OR($N13=R$3,R$3="",$N13=""),"",CORREL(INDEX(tblSeverityAnalysis[[CCCM]:[WASH]],0,MATCH(R$3,tblSeverityAnalysis[[#Headers],[CCCM]:[WASH]],0)),INDEX(tblSeverityAnalysis[[CCCM]:[WASH]],0,MATCH($N13,tblSeverityAnalysis[[#Headers],[CCCM]:[WASH]],0))))</f>
        <v/>
      </c>
      <c r="S13" s="64" t="str">
        <f>IF(OR($N13=S$3,S$3="",$N13=""),"",CORREL(INDEX(tblSeverityAnalysis[[CCCM]:[WASH]],0,MATCH(S$3,tblSeverityAnalysis[[#Headers],[CCCM]:[WASH]],0)),INDEX(tblSeverityAnalysis[[CCCM]:[WASH]],0,MATCH($N13,tblSeverityAnalysis[[#Headers],[CCCM]:[WASH]],0))))</f>
        <v/>
      </c>
      <c r="T13" s="64" t="str">
        <f>IF(OR($N13=T$3,T$3="",$N13=""),"",CORREL(INDEX(tblSeverityAnalysis[[CCCM]:[WASH]],0,MATCH(T$3,tblSeverityAnalysis[[#Headers],[CCCM]:[WASH]],0)),INDEX(tblSeverityAnalysis[[CCCM]:[WASH]],0,MATCH($N13,tblSeverityAnalysis[[#Headers],[CCCM]:[WASH]],0))))</f>
        <v/>
      </c>
      <c r="U13" s="64" t="str">
        <f>IF(OR($N13=U$3,U$3="",$N13=""),"",CORREL(INDEX(tblSeverityAnalysis[[CCCM]:[WASH]],0,MATCH(U$3,tblSeverityAnalysis[[#Headers],[CCCM]:[WASH]],0)),INDEX(tblSeverityAnalysis[[CCCM]:[WASH]],0,MATCH($N13,tblSeverityAnalysis[[#Headers],[CCCM]:[WASH]],0))))</f>
        <v/>
      </c>
      <c r="V13" s="62" t="str">
        <f>IF(OR($A13=V$3,V$3="",$A13=""),"",CORREL(INDEX(tblPiNAnalysis[[CCCM]:[WASH]],0,MATCH(V$3,tblPiNAnalysis[[#Headers],[CCCM]:[WASH]],0)),INDEX(tblPiNAnalysis[[CCCM]:[WASH]],0,MATCH($A13,tblPiNAnalysis[[#Headers],[CCCM]:[WASH]],0))))</f>
        <v/>
      </c>
      <c r="W13" s="62" t="str">
        <f>IF(OR($A13=W$3,W$3="",$A13=""),"",CORREL(INDEX(tblPiNAnalysis[[CCCM]:[WASH]],0,MATCH(W$3,tblPiNAnalysis[[#Headers],[CCCM]:[WASH]],0)),INDEX(tblPiNAnalysis[[CCCM]:[WASH]],0,MATCH($A13,tblPiNAnalysis[[#Headers],[CCCM]:[WASH]],0))))</f>
        <v/>
      </c>
      <c r="X13" s="62" t="str">
        <f>IF(OR($A13=X$3,X$3="",$A13=""),"",CORREL(INDEX(tblPiNAnalysis[[CCCM]:[WASH]],0,MATCH(X$3,tblPiNAnalysis[[#Headers],[CCCM]:[WASH]],0)),INDEX(tblPiNAnalysis[[CCCM]:[WASH]],0,MATCH($A13,tblPiNAnalysis[[#Headers],[CCCM]:[WASH]],0))))</f>
        <v/>
      </c>
      <c r="Y13" s="62"/>
    </row>
    <row r="14" spans="1:25" ht="37.5" customHeight="1" x14ac:dyDescent="0.55000000000000004">
      <c r="A14" s="67"/>
      <c r="B14" s="64" t="str">
        <f>IF(OR($A14=B$3,B$3="",$A14=""),"",CORREL(INDEX(tblPiNAnalysis[[CCCM]:[WASH]],0,MATCH(B$3,tblPiNAnalysis[[#Headers],[CCCM]:[WASH]],0)),INDEX(tblPiNAnalysis[[CCCM]:[WASH]],0,MATCH($A14,tblPiNAnalysis[[#Headers],[CCCM]:[WASH]],0))))</f>
        <v/>
      </c>
      <c r="C14" s="64" t="str">
        <f>IF(OR($A14=C$3,C$3="",$A14=""),"",CORREL(INDEX(tblPiNAnalysis[[CCCM]:[WASH]],0,MATCH(C$3,tblPiNAnalysis[[#Headers],[CCCM]:[WASH]],0)),INDEX(tblPiNAnalysis[[CCCM]:[WASH]],0,MATCH($A14,tblPiNAnalysis[[#Headers],[CCCM]:[WASH]],0))))</f>
        <v/>
      </c>
      <c r="D14" s="64" t="str">
        <f>IF(OR($A14=D$3,D$3="",$A14=""),"",CORREL(INDEX(tblPiNAnalysis[[CCCM]:[WASH]],0,MATCH(D$3,tblPiNAnalysis[[#Headers],[CCCM]:[WASH]],0)),INDEX(tblPiNAnalysis[[CCCM]:[WASH]],0,MATCH($A14,tblPiNAnalysis[[#Headers],[CCCM]:[WASH]],0))))</f>
        <v/>
      </c>
      <c r="E14" s="64" t="str">
        <f>IF(OR($A14=E$3,E$3="",$A14=""),"",CORREL(INDEX(tblPiNAnalysis[[CCCM]:[WASH]],0,MATCH(E$3,tblPiNAnalysis[[#Headers],[CCCM]:[WASH]],0)),INDEX(tblPiNAnalysis[[CCCM]:[WASH]],0,MATCH($A14,tblPiNAnalysis[[#Headers],[CCCM]:[WASH]],0))))</f>
        <v/>
      </c>
      <c r="F14" s="64" t="str">
        <f>IF(OR($A14=F$3,F$3="",$A14=""),"",CORREL(INDEX(tblPiNAnalysis[[CCCM]:[WASH]],0,MATCH(F$3,tblPiNAnalysis[[#Headers],[CCCM]:[WASH]],0)),INDEX(tblPiNAnalysis[[CCCM]:[WASH]],0,MATCH($A14,tblPiNAnalysis[[#Headers],[CCCM]:[WASH]],0))))</f>
        <v/>
      </c>
      <c r="G14" s="64" t="str">
        <f>IF(OR($A14=G$3,G$3="",$A14=""),"",CORREL(INDEX(tblPiNAnalysis[[CCCM]:[WASH]],0,MATCH(G$3,tblPiNAnalysis[[#Headers],[CCCM]:[WASH]],0)),INDEX(tblPiNAnalysis[[CCCM]:[WASH]],0,MATCH($A14,tblPiNAnalysis[[#Headers],[CCCM]:[WASH]],0))))</f>
        <v/>
      </c>
      <c r="H14" s="64" t="str">
        <f>IF(OR($A14=H$3,H$3="",$A14=""),"",CORREL(INDEX(tblPiNAnalysis[[CCCM]:[WASH]],0,MATCH(H$3,tblPiNAnalysis[[#Headers],[CCCM]:[WASH]],0)),INDEX(tblPiNAnalysis[[CCCM]:[WASH]],0,MATCH($A14,tblPiNAnalysis[[#Headers],[CCCM]:[WASH]],0))))</f>
        <v/>
      </c>
      <c r="I14" s="62" t="str">
        <f>IF(OR($A14=I$3,I$3="",$A14=""),"",CORREL(INDEX(tblPiNAnalysis[[CCCM]:[WASH]],0,MATCH(I$3,tblPiNAnalysis[[#Headers],[CCCM]:[WASH]],0)),INDEX(tblPiNAnalysis[[CCCM]:[WASH]],0,MATCH($A14,tblPiNAnalysis[[#Headers],[CCCM]:[WASH]],0))))</f>
        <v/>
      </c>
      <c r="J14" s="62" t="str">
        <f>IF(OR($A14=J$3,J$3="",$A14=""),"",CORREL(INDEX(tblPiNAnalysis[[CCCM]:[WASH]],0,MATCH(J$3,tblPiNAnalysis[[#Headers],[CCCM]:[WASH]],0)),INDEX(tblPiNAnalysis[[CCCM]:[WASH]],0,MATCH($A14,tblPiNAnalysis[[#Headers],[CCCM]:[WASH]],0))))</f>
        <v/>
      </c>
      <c r="K14" s="62" t="str">
        <f>IF(OR($A14=K$3,K$3="",$A14=""),"",CORREL(INDEX(tblPiNAnalysis[[CCCM]:[WASH]],0,MATCH(K$3,tblPiNAnalysis[[#Headers],[CCCM]:[WASH]],0)),INDEX(tblPiNAnalysis[[CCCM]:[WASH]],0,MATCH($A14,tblPiNAnalysis[[#Headers],[CCCM]:[WASH]],0))))</f>
        <v/>
      </c>
      <c r="L14" s="62" t="str">
        <f>IF(OR($A14=L$3,L$3="",$A14=""),"",CORREL(INDEX(tblPiNAnalysis[[CCCM]:[WASH]],0,MATCH(L$3,tblPiNAnalysis[[#Headers],[CCCM]:[WASH]],0)),INDEX(tblPiNAnalysis[[CCCM]:[WASH]],0,MATCH($A14,tblPiNAnalysis[[#Headers],[CCCM]:[WASH]],0))))</f>
        <v/>
      </c>
      <c r="M14" s="68"/>
      <c r="N14" s="67"/>
      <c r="O14" s="64" t="str">
        <f>IF(OR($N14=O$3,O$3="",$N14=""),"",CORREL(INDEX(tblSeverityAnalysis[[CCCM]:[WASH]],0,MATCH(O$3,tblSeverityAnalysis[[#Headers],[CCCM]:[WASH]],0)),INDEX(tblSeverityAnalysis[[CCCM]:[WASH]],0,MATCH($N14,tblSeverityAnalysis[[#Headers],[CCCM]:[WASH]],0))))</f>
        <v/>
      </c>
      <c r="P14" s="64" t="str">
        <f>IF(OR($N14=P$3,P$3="",$N14=""),"",CORREL(INDEX(tblSeverityAnalysis[[CCCM]:[WASH]],0,MATCH(P$3,tblSeverityAnalysis[[#Headers],[CCCM]:[WASH]],0)),INDEX(tblSeverityAnalysis[[CCCM]:[WASH]],0,MATCH($N14,tblSeverityAnalysis[[#Headers],[CCCM]:[WASH]],0))))</f>
        <v/>
      </c>
      <c r="Q14" s="64" t="str">
        <f>IF(OR($N14=Q$3,Q$3="",$N14=""),"",CORREL(INDEX(tblSeverityAnalysis[[CCCM]:[WASH]],0,MATCH(Q$3,tblSeverityAnalysis[[#Headers],[CCCM]:[WASH]],0)),INDEX(tblSeverityAnalysis[[CCCM]:[WASH]],0,MATCH($N14,tblSeverityAnalysis[[#Headers],[CCCM]:[WASH]],0))))</f>
        <v/>
      </c>
      <c r="R14" s="64" t="str">
        <f>IF(OR($N14=R$3,R$3="",$N14=""),"",CORREL(INDEX(tblSeverityAnalysis[[CCCM]:[WASH]],0,MATCH(R$3,tblSeverityAnalysis[[#Headers],[CCCM]:[WASH]],0)),INDEX(tblSeverityAnalysis[[CCCM]:[WASH]],0,MATCH($N14,tblSeverityAnalysis[[#Headers],[CCCM]:[WASH]],0))))</f>
        <v/>
      </c>
      <c r="S14" s="64" t="str">
        <f>IF(OR($N14=S$3,S$3="",$N14=""),"",CORREL(INDEX(tblSeverityAnalysis[[CCCM]:[WASH]],0,MATCH(S$3,tblSeverityAnalysis[[#Headers],[CCCM]:[WASH]],0)),INDEX(tblSeverityAnalysis[[CCCM]:[WASH]],0,MATCH($N14,tblSeverityAnalysis[[#Headers],[CCCM]:[WASH]],0))))</f>
        <v/>
      </c>
      <c r="T14" s="64" t="str">
        <f>IF(OR($N14=T$3,T$3="",$N14=""),"",CORREL(INDEX(tblSeverityAnalysis[[CCCM]:[WASH]],0,MATCH(T$3,tblSeverityAnalysis[[#Headers],[CCCM]:[WASH]],0)),INDEX(tblSeverityAnalysis[[CCCM]:[WASH]],0,MATCH($N14,tblSeverityAnalysis[[#Headers],[CCCM]:[WASH]],0))))</f>
        <v/>
      </c>
      <c r="U14" s="64" t="str">
        <f>IF(OR($N14=U$3,U$3="",$N14=""),"",CORREL(INDEX(tblSeverityAnalysis[[CCCM]:[WASH]],0,MATCH(U$3,tblSeverityAnalysis[[#Headers],[CCCM]:[WASH]],0)),INDEX(tblSeverityAnalysis[[CCCM]:[WASH]],0,MATCH($N14,tblSeverityAnalysis[[#Headers],[CCCM]:[WASH]],0))))</f>
        <v/>
      </c>
      <c r="V14" s="62" t="str">
        <f>IF(OR($A14=V$3,V$3="",$A14=""),"",CORREL(INDEX(tblPiNAnalysis[[CCCM]:[WASH]],0,MATCH(V$3,tblPiNAnalysis[[#Headers],[CCCM]:[WASH]],0)),INDEX(tblPiNAnalysis[[CCCM]:[WASH]],0,MATCH($A14,tblPiNAnalysis[[#Headers],[CCCM]:[WASH]],0))))</f>
        <v/>
      </c>
      <c r="W14" s="62" t="str">
        <f>IF(OR($A14=W$3,W$3="",$A14=""),"",CORREL(INDEX(tblPiNAnalysis[[CCCM]:[WASH]],0,MATCH(W$3,tblPiNAnalysis[[#Headers],[CCCM]:[WASH]],0)),INDEX(tblPiNAnalysis[[CCCM]:[WASH]],0,MATCH($A14,tblPiNAnalysis[[#Headers],[CCCM]:[WASH]],0))))</f>
        <v/>
      </c>
      <c r="X14" s="62" t="str">
        <f>IF(OR($A14=X$3,X$3="",$A14=""),"",CORREL(INDEX(tblPiNAnalysis[[CCCM]:[WASH]],0,MATCH(X$3,tblPiNAnalysis[[#Headers],[CCCM]:[WASH]],0)),INDEX(tblPiNAnalysis[[CCCM]:[WASH]],0,MATCH($A14,tblPiNAnalysis[[#Headers],[CCCM]:[WASH]],0))))</f>
        <v/>
      </c>
      <c r="Y14" s="62" t="str">
        <f>IF(OR($A14=Y$3,Y$3="",$A14=""),"",CORREL(INDEX(tblPiNAnalysis[[CCCM]:[WASH]],0,MATCH(Y$3,tblPiNAnalysis[[#Headers],[CCCM]:[WASH]],0)),INDEX(tblPiNAnalysis[[CCCM]:[WASH]],0,MATCH($A14,tblPiNAnalysis[[#Headers],[CCCM]:[WASH]],0))))</f>
        <v/>
      </c>
    </row>
    <row r="15" spans="1:25" x14ac:dyDescent="0.55000000000000004">
      <c r="M15" s="68"/>
    </row>
  </sheetData>
  <mergeCells count="2">
    <mergeCell ref="C1:G2"/>
    <mergeCell ref="P1:T2"/>
  </mergeCells>
  <conditionalFormatting sqref="A4:A14">
    <cfRule type="notContainsBlanks" dxfId="17" priority="5">
      <formula>LEN(TRIM(A4))&gt;0</formula>
    </cfRule>
  </conditionalFormatting>
  <conditionalFormatting sqref="B3:L3">
    <cfRule type="notContainsBlanks" dxfId="16" priority="7">
      <formula>LEN(TRIM(B3))&gt;0</formula>
    </cfRule>
  </conditionalFormatting>
  <conditionalFormatting sqref="B4:L14">
    <cfRule type="notContainsBlanks" dxfId="15" priority="6">
      <formula>LEN(TRIM(B4))&gt;0</formula>
    </cfRule>
    <cfRule type="colorScale" priority="9">
      <colorScale>
        <cfvo type="min"/>
        <cfvo type="max"/>
        <color theme="8" tint="0.79998168889431442"/>
        <color theme="8" tint="-0.249977111117893"/>
      </colorScale>
    </cfRule>
  </conditionalFormatting>
  <conditionalFormatting sqref="N4:N14">
    <cfRule type="notContainsBlanks" dxfId="14" priority="1">
      <formula>LEN(TRIM(N4))&gt;0</formula>
    </cfRule>
  </conditionalFormatting>
  <conditionalFormatting sqref="O3:Y3">
    <cfRule type="notContainsBlanks" dxfId="13" priority="3">
      <formula>LEN(TRIM(O3))&gt;0</formula>
    </cfRule>
  </conditionalFormatting>
  <conditionalFormatting sqref="O4:Y14">
    <cfRule type="notContainsBlanks" dxfId="12" priority="2">
      <formula>LEN(TRIM(O4))&gt;0</formula>
    </cfRule>
    <cfRule type="colorScale" priority="4">
      <colorScale>
        <cfvo type="min"/>
        <cfvo type="max"/>
        <color theme="8" tint="0.79998168889431442"/>
        <color theme="8" tint="-0.249977111117893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1539-7FF3-4509-AEC1-89CC78F7589A}">
  <sheetPr codeName="Sheet11">
    <tabColor rgb="FF00B050"/>
  </sheetPr>
  <dimension ref="A1:Y15"/>
  <sheetViews>
    <sheetView showGridLines="0" zoomScale="80" zoomScaleNormal="80" workbookViewId="0">
      <selection activeCell="AO11" sqref="AO11"/>
    </sheetView>
  </sheetViews>
  <sheetFormatPr defaultRowHeight="14.4" x14ac:dyDescent="0.55000000000000004"/>
  <cols>
    <col min="1" max="1" width="17.47265625" style="66" customWidth="1"/>
    <col min="2" max="8" width="12.7890625" style="9" customWidth="1"/>
    <col min="9" max="12" width="12.7890625" customWidth="1"/>
    <col min="14" max="14" width="15" customWidth="1"/>
    <col min="15" max="25" width="12.7890625" customWidth="1"/>
  </cols>
  <sheetData>
    <row r="1" spans="1:25" ht="55.5" customHeight="1" x14ac:dyDescent="0.55000000000000004">
      <c r="A1" s="167" t="s">
        <v>40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M1" s="68"/>
      <c r="N1" s="166" t="s">
        <v>41</v>
      </c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</row>
    <row r="2" spans="1:25" ht="55.5" customHeight="1" x14ac:dyDescent="0.55000000000000004">
      <c r="A2" s="167"/>
      <c r="B2" s="167"/>
      <c r="C2" s="167"/>
      <c r="D2" s="167"/>
      <c r="E2" s="167"/>
      <c r="F2" s="167"/>
      <c r="G2" s="167"/>
      <c r="H2" s="167"/>
      <c r="I2" s="167"/>
      <c r="J2" s="167"/>
      <c r="K2" s="167"/>
      <c r="M2" s="68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5" ht="50.25" customHeight="1" x14ac:dyDescent="0.55000000000000004">
      <c r="A3" s="63"/>
      <c r="B3" s="70" t="str" cm="1">
        <f t="array" ref="B3:J3">_xlfn.UNIQUE(tblPiNAnalysis[[#Headers],[CCCM]:[WASH]])</f>
        <v>CCCM</v>
      </c>
      <c r="C3" s="70" t="str">
        <v>Education</v>
      </c>
      <c r="D3" s="70" t="str">
        <v>Early Recovery</v>
      </c>
      <c r="E3" s="70" t="str">
        <v>Food Security</v>
      </c>
      <c r="F3" s="70" t="str">
        <v>Heath</v>
      </c>
      <c r="G3" s="70" t="str">
        <v>Nutrition</v>
      </c>
      <c r="H3" s="70" t="str">
        <v>Overarching Protection</v>
      </c>
      <c r="I3" s="67" t="str">
        <v>Shelter</v>
      </c>
      <c r="J3" s="67" t="str">
        <v>WASH</v>
      </c>
      <c r="K3" s="67"/>
      <c r="M3" s="68"/>
      <c r="N3" s="63"/>
      <c r="O3" s="67" t="str" cm="1">
        <f t="array" ref="O3:W3">_xlfn.UNIQUE(tblSeverityAnalysis[[#Headers],[CCCM]:[WASH]])</f>
        <v>CCCM</v>
      </c>
      <c r="P3" s="67" t="str">
        <v>Education</v>
      </c>
      <c r="Q3" s="67" t="str">
        <v>Early Recovery</v>
      </c>
      <c r="R3" s="67" t="str">
        <v>Food Security</v>
      </c>
      <c r="S3" s="67" t="str">
        <v>Health</v>
      </c>
      <c r="T3" s="67" t="str">
        <v>Nutrition</v>
      </c>
      <c r="U3" s="67" t="str">
        <v>Overarching Protection</v>
      </c>
      <c r="V3" s="67" t="str">
        <v>Shelter</v>
      </c>
      <c r="W3" s="67" t="str">
        <v>WASH</v>
      </c>
      <c r="X3" s="67"/>
    </row>
    <row r="4" spans="1:25" ht="37.5" customHeight="1" x14ac:dyDescent="0.55000000000000004">
      <c r="A4" s="67" t="str" cm="1">
        <f t="array" ref="A4:A12">TRANSPOSE(tblPiNAnalysis[[#Headers],[CCCM]:[WASH]])</f>
        <v>CCCM</v>
      </c>
      <c r="B4" s="70" t="str" cm="1">
        <f t="array" ref="B4">IF(OR($A4=B$3,B$3="",$A4=""),"",SUM(IF(ROUND(INDEX(#REF!, 0, MATCH(_xlfn.CONCAT(B$3,"%"), #REF!, 0)), 1)=ROUND(INDEX(#REF!, 0, MATCH(_xlfn.CONCAT($A4,"%"), #REF!, 0)), 1), 1, 0)))</f>
        <v/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68"/>
      <c r="N4" s="67" t="str" cm="1">
        <f t="array" ref="N4:N12">TRANSPOSE(tblSeverityAnalysis[[#Headers],[CCCM]:[WASH]])</f>
        <v>CCCM</v>
      </c>
      <c r="O4" s="70" t="str" cm="1">
        <f t="array" ref="O4">IF(OR($N4=O$3,O$3="",$N4=""),"",SUM(IF(INDEX(tblSeverityAnalysis[[CCCM]:[WASH]],0,MATCH(O$3,tblSeverityAnalysis[[#Headers],[CCCM]:[WASH]],0))=INDEX(tblSeverityAnalysis[[CCCM]:[WASH]],0,MATCH($N4,tblSeverityAnalysis[[#Headers],[CCCM]:[WASH]],0)), 1, 0)))</f>
        <v/>
      </c>
      <c r="P4" s="70"/>
      <c r="Q4" s="70"/>
      <c r="R4" s="70"/>
      <c r="S4" s="70"/>
      <c r="T4" s="70"/>
      <c r="U4" s="70"/>
      <c r="V4" s="70"/>
      <c r="W4" s="70"/>
      <c r="X4" s="70"/>
      <c r="Y4" s="70"/>
    </row>
    <row r="5" spans="1:25" ht="37.5" customHeight="1" x14ac:dyDescent="0.55000000000000004">
      <c r="A5" s="67" t="str">
        <v>Education</v>
      </c>
      <c r="B5" s="70" t="e" cm="1">
        <f t="array" ref="B5">IF(OR($A5=B$3,B$3="",$A5=""),"",SUM(IF(ROUND(INDEX(#REF!, 0, MATCH(_xlfn.CONCAT(B$3,"%"), #REF!, 0)), 1)=ROUND(INDEX(#REF!, 0, MATCH(_xlfn.CONCAT($A5,"%"), #REF!, 0)), 1), 1, 0)))</f>
        <v>#REF!</v>
      </c>
      <c r="C5" s="70" t="str" cm="1">
        <f t="array" ref="C5">IF(OR($A5=C$3,C$3="",$A5=""),"",SUM(IF(ROUND(INDEX(#REF!, 0, MATCH(_xlfn.CONCAT(C$3,"%"), #REF!, 0)), 1)=ROUND(INDEX(#REF!, 0, MATCH(_xlfn.CONCAT($A5,"%"), #REF!, 0)), 1), 1, 0)))</f>
        <v/>
      </c>
      <c r="D5" s="70"/>
      <c r="E5" s="70"/>
      <c r="F5" s="70"/>
      <c r="G5" s="70"/>
      <c r="H5" s="70"/>
      <c r="I5" s="70"/>
      <c r="J5" s="70"/>
      <c r="K5" s="70"/>
      <c r="L5" s="70"/>
      <c r="M5" s="68"/>
      <c r="N5" s="67" t="str">
        <v>Education</v>
      </c>
      <c r="O5" s="70" cm="1">
        <f t="array" ref="O5">IF(OR($N5=O$3,O$3="",$N5=""),"",SUM(IF(INDEX(tblSeverityAnalysis[[CCCM]:[WASH]],0,MATCH(O$3,tblSeverityAnalysis[[#Headers],[CCCM]:[WASH]],0))=INDEX(tblSeverityAnalysis[[CCCM]:[WASH]],0,MATCH($N5,tblSeverityAnalysis[[#Headers],[CCCM]:[WASH]],0)), 1, 0)))</f>
        <v>68</v>
      </c>
      <c r="P5" s="70" t="str" cm="1">
        <f t="array" ref="P5">IF(OR($N5=P$3,P$3="",$N5=""),"",SUM(IF(INDEX(tblSeverityAnalysis[[CCCM]:[WASH]],0,MATCH(P$3,tblSeverityAnalysis[[#Headers],[CCCM]:[WASH]],0))=INDEX(tblSeverityAnalysis[[CCCM]:[WASH]],0,MATCH($N5,tblSeverityAnalysis[[#Headers],[CCCM]:[WASH]],0)), 1, 0)))</f>
        <v/>
      </c>
      <c r="Q5" s="70"/>
      <c r="R5" s="70"/>
      <c r="S5" s="70"/>
      <c r="T5" s="70"/>
      <c r="U5" s="70"/>
      <c r="V5" s="70"/>
      <c r="W5" s="70"/>
      <c r="X5" s="70"/>
      <c r="Y5" s="70"/>
    </row>
    <row r="6" spans="1:25" ht="37.5" customHeight="1" x14ac:dyDescent="0.55000000000000004">
      <c r="A6" s="67" t="str">
        <v>Early Recovery</v>
      </c>
      <c r="B6" s="70" t="e" cm="1">
        <f t="array" ref="B6">IF(OR($A6=B$3,B$3="",$A6=""),"",SUM(IF(ROUND(INDEX(#REF!, 0, MATCH(_xlfn.CONCAT(B$3,"%"), #REF!, 0)), 1)=ROUND(INDEX(#REF!, 0, MATCH(_xlfn.CONCAT($A6,"%"), #REF!, 0)), 1), 1, 0)))</f>
        <v>#REF!</v>
      </c>
      <c r="C6" s="70" t="e" cm="1">
        <f t="array" ref="C6">IF(OR($A6=C$3,C$3="",$A6=""),"",SUM(IF(ROUND(INDEX(#REF!, 0, MATCH(_xlfn.CONCAT(C$3,"%"), #REF!, 0)), 1)=ROUND(INDEX(#REF!, 0, MATCH(_xlfn.CONCAT($A6,"%"), #REF!, 0)), 1), 1, 0)))</f>
        <v>#REF!</v>
      </c>
      <c r="D6" s="70" t="str" cm="1">
        <f t="array" ref="D6">IF(OR($A6=D$3,D$3="",$A6=""),"",SUM(IF(ROUND(INDEX(#REF!, 0, MATCH(_xlfn.CONCAT(D$3,"%"), #REF!, 0)), 1)=ROUND(INDEX(#REF!, 0, MATCH(_xlfn.CONCAT($A6,"%"), #REF!, 0)), 1), 1, 0)))</f>
        <v/>
      </c>
      <c r="E6" s="70"/>
      <c r="F6" s="70"/>
      <c r="G6" s="70"/>
      <c r="H6" s="70"/>
      <c r="I6" s="70"/>
      <c r="J6" s="70"/>
      <c r="K6" s="70"/>
      <c r="L6" s="70"/>
      <c r="M6" s="68"/>
      <c r="N6" s="67" t="str">
        <v>Early Recovery</v>
      </c>
      <c r="O6" s="70" cm="1">
        <f t="array" ref="O6">IF(OR($N6=O$3,O$3="",$N6=""),"",SUM(IF(INDEX(tblSeverityAnalysis[[CCCM]:[WASH]],0,MATCH(O$3,tblSeverityAnalysis[[#Headers],[CCCM]:[WASH]],0))=INDEX(tblSeverityAnalysis[[CCCM]:[WASH]],0,MATCH($N6,tblSeverityAnalysis[[#Headers],[CCCM]:[WASH]],0)), 1, 0)))</f>
        <v>50</v>
      </c>
      <c r="P6" s="70" cm="1">
        <f t="array" ref="P6">IF(OR($N6=P$3,P$3="",$N6=""),"",SUM(IF(INDEX(tblSeverityAnalysis[[CCCM]:[WASH]],0,MATCH(P$3,tblSeverityAnalysis[[#Headers],[CCCM]:[WASH]],0))=INDEX(tblSeverityAnalysis[[CCCM]:[WASH]],0,MATCH($N6,tblSeverityAnalysis[[#Headers],[CCCM]:[WASH]],0)), 1, 0)))</f>
        <v>46</v>
      </c>
      <c r="Q6" s="70" t="str" cm="1">
        <f t="array" ref="Q6">IF(OR($N6=Q$3,Q$3="",$N6=""),"",SUM(IF(INDEX(tblSeverityAnalysis[[CCCM]:[WASH]],0,MATCH(Q$3,tblSeverityAnalysis[[#Headers],[CCCM]:[WASH]],0))=INDEX(tblSeverityAnalysis[[CCCM]:[WASH]],0,MATCH($N6,tblSeverityAnalysis[[#Headers],[CCCM]:[WASH]],0)), 1, 0)))</f>
        <v/>
      </c>
      <c r="R6" s="70"/>
      <c r="S6" s="70"/>
      <c r="T6" s="70"/>
      <c r="U6" s="70"/>
      <c r="V6" s="70"/>
      <c r="W6" s="70"/>
      <c r="X6" s="70"/>
      <c r="Y6" s="70"/>
    </row>
    <row r="7" spans="1:25" ht="37.5" customHeight="1" x14ac:dyDescent="0.55000000000000004">
      <c r="A7" s="67" t="str">
        <v>Food Security</v>
      </c>
      <c r="B7" s="70" t="e" cm="1">
        <f t="array" ref="B7">IF(OR($A7=B$3,B$3="",$A7=""),"",SUM(IF(ROUND(INDEX(#REF!, 0, MATCH(_xlfn.CONCAT(B$3,"%"), #REF!, 0)), 1)=ROUND(INDEX(#REF!, 0, MATCH(_xlfn.CONCAT($A7,"%"), #REF!, 0)), 1), 1, 0)))</f>
        <v>#REF!</v>
      </c>
      <c r="C7" s="70" t="e" cm="1">
        <f t="array" ref="C7">IF(OR($A7=C$3,C$3="",$A7=""),"",SUM(IF(ROUND(INDEX(#REF!, 0, MATCH(_xlfn.CONCAT(C$3,"%"), #REF!, 0)), 1)=ROUND(INDEX(#REF!, 0, MATCH(_xlfn.CONCAT($A7,"%"), #REF!, 0)), 1), 1, 0)))</f>
        <v>#REF!</v>
      </c>
      <c r="D7" s="70" t="e" cm="1">
        <f t="array" ref="D7">IF(OR($A7=D$3,D$3="",$A7=""),"",SUM(IF(ROUND(INDEX(#REF!, 0, MATCH(_xlfn.CONCAT(D$3,"%"), #REF!, 0)), 1)=ROUND(INDEX(#REF!, 0, MATCH(_xlfn.CONCAT($A7,"%"), #REF!, 0)), 1), 1, 0)))</f>
        <v>#REF!</v>
      </c>
      <c r="E7" s="70" t="str" cm="1">
        <f t="array" ref="E7">IF(OR($A7=E$3,E$3="",$A7=""),"",SUM(IF(ROUND(INDEX(#REF!, 0, MATCH(_xlfn.CONCAT(E$3,"%"), #REF!, 0)), 1)=ROUND(INDEX(#REF!, 0, MATCH(_xlfn.CONCAT($A7,"%"), #REF!, 0)), 1), 1, 0)))</f>
        <v/>
      </c>
      <c r="F7" s="70"/>
      <c r="G7" s="70"/>
      <c r="H7" s="70"/>
      <c r="I7" s="70"/>
      <c r="J7" s="70"/>
      <c r="K7" s="70"/>
      <c r="L7" s="70"/>
      <c r="M7" s="68"/>
      <c r="N7" s="67" t="str">
        <v>Food Security</v>
      </c>
      <c r="O7" s="70" cm="1">
        <f t="array" ref="O7">IF(OR($N7=O$3,O$3="",$N7=""),"",SUM(IF(INDEX(tblSeverityAnalysis[[CCCM]:[WASH]],0,MATCH(O$3,tblSeverityAnalysis[[#Headers],[CCCM]:[WASH]],0))=INDEX(tblSeverityAnalysis[[CCCM]:[WASH]],0,MATCH($N7,tblSeverityAnalysis[[#Headers],[CCCM]:[WASH]],0)), 1, 0)))</f>
        <v>56</v>
      </c>
      <c r="P7" s="70" cm="1">
        <f t="array" ref="P7">IF(OR($N7=P$3,P$3="",$N7=""),"",SUM(IF(INDEX(tblSeverityAnalysis[[CCCM]:[WASH]],0,MATCH(P$3,tblSeverityAnalysis[[#Headers],[CCCM]:[WASH]],0))=INDEX(tblSeverityAnalysis[[CCCM]:[WASH]],0,MATCH($N7,tblSeverityAnalysis[[#Headers],[CCCM]:[WASH]],0)), 1, 0)))</f>
        <v>72</v>
      </c>
      <c r="Q7" s="70" cm="1">
        <f t="array" ref="Q7">IF(OR($N7=Q$3,Q$3="",$N7=""),"",SUM(IF(INDEX(tblSeverityAnalysis[[CCCM]:[WASH]],0,MATCH(Q$3,tblSeverityAnalysis[[#Headers],[CCCM]:[WASH]],0))=INDEX(tblSeverityAnalysis[[CCCM]:[WASH]],0,MATCH($N7,tblSeverityAnalysis[[#Headers],[CCCM]:[WASH]],0)), 1, 0)))</f>
        <v>50</v>
      </c>
      <c r="R7" s="70" t="str" cm="1">
        <f t="array" ref="R7">IF(OR($N7=R$3,R$3="",$N7=""),"",SUM(IF(INDEX(tblSeverityAnalysis[[CCCM]:[WASH]],0,MATCH(R$3,tblSeverityAnalysis[[#Headers],[CCCM]:[WASH]],0))=INDEX(tblSeverityAnalysis[[CCCM]:[WASH]],0,MATCH($N7,tblSeverityAnalysis[[#Headers],[CCCM]:[WASH]],0)), 1, 0)))</f>
        <v/>
      </c>
      <c r="S7" s="70"/>
      <c r="T7" s="70"/>
      <c r="U7" s="70"/>
      <c r="V7" s="70"/>
      <c r="W7" s="70"/>
      <c r="X7" s="70"/>
      <c r="Y7" s="70"/>
    </row>
    <row r="8" spans="1:25" ht="37.5" customHeight="1" x14ac:dyDescent="0.55000000000000004">
      <c r="A8" s="67" t="str">
        <v>Heath</v>
      </c>
      <c r="B8" s="70" t="e" cm="1">
        <f t="array" ref="B8">IF(OR($A8=B$3,B$3="",$A8=""),"",SUM(IF(ROUND(INDEX(#REF!, 0, MATCH(_xlfn.CONCAT(B$3,"%"), #REF!, 0)), 1)=ROUND(INDEX(#REF!, 0, MATCH(_xlfn.CONCAT($A8,"%"), #REF!, 0)), 1), 1, 0)))</f>
        <v>#REF!</v>
      </c>
      <c r="C8" s="70" t="e" cm="1">
        <f t="array" ref="C8">IF(OR($A8=C$3,C$3="",$A8=""),"",SUM(IF(ROUND(INDEX(#REF!, 0, MATCH(_xlfn.CONCAT(C$3,"%"), #REF!, 0)), 1)=ROUND(INDEX(#REF!, 0, MATCH(_xlfn.CONCAT($A8,"%"), #REF!, 0)), 1), 1, 0)))</f>
        <v>#REF!</v>
      </c>
      <c r="D8" s="70" t="e" cm="1">
        <f t="array" ref="D8">IF(OR($A8=D$3,D$3="",$A8=""),"",SUM(IF(ROUND(INDEX(#REF!, 0, MATCH(_xlfn.CONCAT(D$3,"%"), #REF!, 0)), 1)=ROUND(INDEX(#REF!, 0, MATCH(_xlfn.CONCAT($A8,"%"), #REF!, 0)), 1), 1, 0)))</f>
        <v>#REF!</v>
      </c>
      <c r="E8" s="70" t="e" cm="1">
        <f t="array" ref="E8">IF(OR($A8=E$3,E$3="",$A8=""),"",SUM(IF(ROUND(INDEX(#REF!, 0, MATCH(_xlfn.CONCAT(E$3,"%"), #REF!, 0)), 1)=ROUND(INDEX(#REF!, 0, MATCH(_xlfn.CONCAT($A8,"%"), #REF!, 0)), 1), 1, 0)))</f>
        <v>#REF!</v>
      </c>
      <c r="F8" s="70" t="str" cm="1">
        <f t="array" ref="F8">IF(OR($A8=F$3,F$3="",$A8=""),"",SUM(IF(ROUND(INDEX(#REF!, 0, MATCH(_xlfn.CONCAT(F$3,"%"), #REF!, 0)), 1)=ROUND(INDEX(#REF!, 0, MATCH(_xlfn.CONCAT($A8,"%"), #REF!, 0)), 1), 1, 0)))</f>
        <v/>
      </c>
      <c r="G8" s="70"/>
      <c r="H8" s="70"/>
      <c r="I8" s="70"/>
      <c r="J8" s="70"/>
      <c r="K8" s="70"/>
      <c r="L8" s="70"/>
      <c r="M8" s="68"/>
      <c r="N8" s="67" t="str">
        <v>Health</v>
      </c>
      <c r="O8" s="70" cm="1">
        <f t="array" ref="O8">IF(OR($N8=O$3,O$3="",$N8=""),"",SUM(IF(INDEX(tblSeverityAnalysis[[CCCM]:[WASH]],0,MATCH(O$3,tblSeverityAnalysis[[#Headers],[CCCM]:[WASH]],0))=INDEX(tblSeverityAnalysis[[CCCM]:[WASH]],0,MATCH($N8,tblSeverityAnalysis[[#Headers],[CCCM]:[WASH]],0)), 1, 0)))</f>
        <v>57</v>
      </c>
      <c r="P8" s="70" cm="1">
        <f t="array" ref="P8">IF(OR($N8=P$3,P$3="",$N8=""),"",SUM(IF(INDEX(tblSeverityAnalysis[[CCCM]:[WASH]],0,MATCH(P$3,tblSeverityAnalysis[[#Headers],[CCCM]:[WASH]],0))=INDEX(tblSeverityAnalysis[[CCCM]:[WASH]],0,MATCH($N8,tblSeverityAnalysis[[#Headers],[CCCM]:[WASH]],0)), 1, 0)))</f>
        <v>75</v>
      </c>
      <c r="Q8" s="70" cm="1">
        <f t="array" ref="Q8">IF(OR($N8=Q$3,Q$3="",$N8=""),"",SUM(IF(INDEX(tblSeverityAnalysis[[CCCM]:[WASH]],0,MATCH(Q$3,tblSeverityAnalysis[[#Headers],[CCCM]:[WASH]],0))=INDEX(tblSeverityAnalysis[[CCCM]:[WASH]],0,MATCH($N8,tblSeverityAnalysis[[#Headers],[CCCM]:[WASH]],0)), 1, 0)))</f>
        <v>46</v>
      </c>
      <c r="R8" s="70" cm="1">
        <f t="array" ref="R8">IF(OR($N8=R$3,R$3="",$N8=""),"",SUM(IF(INDEX(tblSeverityAnalysis[[CCCM]:[WASH]],0,MATCH(R$3,tblSeverityAnalysis[[#Headers],[CCCM]:[WASH]],0))=INDEX(tblSeverityAnalysis[[CCCM]:[WASH]],0,MATCH($N8,tblSeverityAnalysis[[#Headers],[CCCM]:[WASH]],0)), 1, 0)))</f>
        <v>76</v>
      </c>
      <c r="S8" s="70" t="str" cm="1">
        <f t="array" ref="S8">IF(OR($N8=S$3,S$3="",$N8=""),"",SUM(IF(INDEX(tblSeverityAnalysis[[CCCM]:[WASH]],0,MATCH(S$3,tblSeverityAnalysis[[#Headers],[CCCM]:[WASH]],0))=INDEX(tblSeverityAnalysis[[CCCM]:[WASH]],0,MATCH($N8,tblSeverityAnalysis[[#Headers],[CCCM]:[WASH]],0)), 1, 0)))</f>
        <v/>
      </c>
      <c r="T8" s="70"/>
      <c r="U8" s="70"/>
      <c r="V8" s="70"/>
      <c r="W8" s="70"/>
      <c r="X8" s="70"/>
      <c r="Y8" s="70"/>
    </row>
    <row r="9" spans="1:25" ht="37.5" customHeight="1" x14ac:dyDescent="0.55000000000000004">
      <c r="A9" s="67" t="str">
        <v>Nutrition</v>
      </c>
      <c r="B9" s="70" t="e" cm="1">
        <f t="array" ref="B9">IF(OR($A9=B$3,B$3="",$A9=""),"",SUM(IF(ROUND(INDEX(#REF!, 0, MATCH(_xlfn.CONCAT(B$3,"%"), #REF!, 0)), 1)=ROUND(INDEX(#REF!, 0, MATCH(_xlfn.CONCAT($A9,"%"), #REF!, 0)), 1), 1, 0)))</f>
        <v>#REF!</v>
      </c>
      <c r="C9" s="70" t="e" cm="1">
        <f t="array" ref="C9">IF(OR($A9=C$3,C$3="",$A9=""),"",SUM(IF(ROUND(INDEX(#REF!, 0, MATCH(_xlfn.CONCAT(C$3,"%"), #REF!, 0)), 1)=ROUND(INDEX(#REF!, 0, MATCH(_xlfn.CONCAT($A9,"%"), #REF!, 0)), 1), 1, 0)))</f>
        <v>#REF!</v>
      </c>
      <c r="D9" s="70" t="e" cm="1">
        <f t="array" ref="D9">IF(OR($A9=D$3,D$3="",$A9=""),"",SUM(IF(ROUND(INDEX(#REF!, 0, MATCH(_xlfn.CONCAT(D$3,"%"), #REF!, 0)), 1)=ROUND(INDEX(#REF!, 0, MATCH(_xlfn.CONCAT($A9,"%"), #REF!, 0)), 1), 1, 0)))</f>
        <v>#REF!</v>
      </c>
      <c r="E9" s="70" t="e" cm="1">
        <f t="array" ref="E9">IF(OR($A9=E$3,E$3="",$A9=""),"",SUM(IF(ROUND(INDEX(#REF!, 0, MATCH(_xlfn.CONCAT(E$3,"%"), #REF!, 0)), 1)=ROUND(INDEX(#REF!, 0, MATCH(_xlfn.CONCAT($A9,"%"), #REF!, 0)), 1), 1, 0)))</f>
        <v>#REF!</v>
      </c>
      <c r="F9" s="70" t="e" cm="1">
        <f t="array" ref="F9">IF(OR($A9=F$3,F$3="",$A9=""),"",SUM(IF(ROUND(INDEX(#REF!, 0, MATCH(_xlfn.CONCAT(F$3,"%"), #REF!, 0)), 1)=ROUND(INDEX(#REF!, 0, MATCH(_xlfn.CONCAT($A9,"%"), #REF!, 0)), 1), 1, 0)))</f>
        <v>#REF!</v>
      </c>
      <c r="G9" s="70" t="str" cm="1">
        <f t="array" ref="G9">IF(OR($A9=G$3,G$3="",$A9=""),"",SUM(IF(ROUND(INDEX(#REF!, 0, MATCH(_xlfn.CONCAT(G$3,"%"), #REF!, 0)), 1)=ROUND(INDEX(#REF!, 0, MATCH(_xlfn.CONCAT($A9,"%"), #REF!, 0)), 1), 1, 0)))</f>
        <v/>
      </c>
      <c r="H9" s="70"/>
      <c r="I9" s="70"/>
      <c r="J9" s="70"/>
      <c r="K9" s="70"/>
      <c r="L9" s="70"/>
      <c r="M9" s="68"/>
      <c r="N9" s="67" t="str">
        <v>Nutrition</v>
      </c>
      <c r="O9" s="70" cm="1">
        <f t="array" ref="O9">IF(OR($N9=O$3,O$3="",$N9=""),"",SUM(IF(INDEX(tblSeverityAnalysis[[CCCM]:[WASH]],0,MATCH(O$3,tblSeverityAnalysis[[#Headers],[CCCM]:[WASH]],0))=INDEX(tblSeverityAnalysis[[CCCM]:[WASH]],0,MATCH($N9,tblSeverityAnalysis[[#Headers],[CCCM]:[WASH]],0)), 1, 0)))</f>
        <v>59</v>
      </c>
      <c r="P9" s="70" cm="1">
        <f t="array" ref="P9">IF(OR($N9=P$3,P$3="",$N9=""),"",SUM(IF(INDEX(tblSeverityAnalysis[[CCCM]:[WASH]],0,MATCH(P$3,tblSeverityAnalysis[[#Headers],[CCCM]:[WASH]],0))=INDEX(tblSeverityAnalysis[[CCCM]:[WASH]],0,MATCH($N9,tblSeverityAnalysis[[#Headers],[CCCM]:[WASH]],0)), 1, 0)))</f>
        <v>74</v>
      </c>
      <c r="Q9" s="70" cm="1">
        <f t="array" ref="Q9">IF(OR($N9=Q$3,Q$3="",$N9=""),"",SUM(IF(INDEX(tblSeverityAnalysis[[CCCM]:[WASH]],0,MATCH(Q$3,tblSeverityAnalysis[[#Headers],[CCCM]:[WASH]],0))=INDEX(tblSeverityAnalysis[[CCCM]:[WASH]],0,MATCH($N9,tblSeverityAnalysis[[#Headers],[CCCM]:[WASH]],0)), 1, 0)))</f>
        <v>46</v>
      </c>
      <c r="R9" s="70" cm="1">
        <f t="array" ref="R9">IF(OR($N9=R$3,R$3="",$N9=""),"",SUM(IF(INDEX(tblSeverityAnalysis[[CCCM]:[WASH]],0,MATCH(R$3,tblSeverityAnalysis[[#Headers],[CCCM]:[WASH]],0))=INDEX(tblSeverityAnalysis[[CCCM]:[WASH]],0,MATCH($N9,tblSeverityAnalysis[[#Headers],[CCCM]:[WASH]],0)), 1, 0)))</f>
        <v>69</v>
      </c>
      <c r="S9" s="70" cm="1">
        <f t="array" ref="S9">IF(OR($N9=S$3,S$3="",$N9=""),"",SUM(IF(INDEX(tblSeverityAnalysis[[CCCM]:[WASH]],0,MATCH(S$3,tblSeverityAnalysis[[#Headers],[CCCM]:[WASH]],0))=INDEX(tblSeverityAnalysis[[CCCM]:[WASH]],0,MATCH($N9,tblSeverityAnalysis[[#Headers],[CCCM]:[WASH]],0)), 1, 0)))</f>
        <v>83</v>
      </c>
      <c r="T9" s="70" t="str" cm="1">
        <f t="array" ref="T9">IF(OR($N9=T$3,T$3="",$N9=""),"",SUM(IF(INDEX(tblSeverityAnalysis[[CCCM]:[WASH]],0,MATCH(T$3,tblSeverityAnalysis[[#Headers],[CCCM]:[WASH]],0))=INDEX(tblSeverityAnalysis[[CCCM]:[WASH]],0,MATCH($N9,tblSeverityAnalysis[[#Headers],[CCCM]:[WASH]],0)), 1, 0)))</f>
        <v/>
      </c>
      <c r="U9" s="70"/>
      <c r="V9" s="70"/>
      <c r="W9" s="70"/>
      <c r="X9" s="70"/>
      <c r="Y9" s="70"/>
    </row>
    <row r="10" spans="1:25" ht="37.5" customHeight="1" x14ac:dyDescent="0.55000000000000004">
      <c r="A10" s="67" t="str">
        <v>Overarching Protection</v>
      </c>
      <c r="B10" s="70" t="e" cm="1">
        <f t="array" ref="B10">IF(OR($A10=B$3,B$3="",$A10=""),"",SUM(IF(ROUND(INDEX(#REF!, 0, MATCH(_xlfn.CONCAT(B$3,"%"), #REF!, 0)), 1)=ROUND(INDEX(#REF!, 0, MATCH(_xlfn.CONCAT($A10,"%"), #REF!, 0)), 1), 1, 0)))</f>
        <v>#REF!</v>
      </c>
      <c r="C10" s="70" t="e" cm="1">
        <f t="array" ref="C10">IF(OR($A10=C$3,C$3="",$A10=""),"",SUM(IF(ROUND(INDEX(#REF!, 0, MATCH(_xlfn.CONCAT(C$3,"%"), #REF!, 0)), 1)=ROUND(INDEX(#REF!, 0, MATCH(_xlfn.CONCAT($A10,"%"), #REF!, 0)), 1), 1, 0)))</f>
        <v>#REF!</v>
      </c>
      <c r="D10" s="70" t="e" cm="1">
        <f t="array" ref="D10">IF(OR($A10=D$3,D$3="",$A10=""),"",SUM(IF(ROUND(INDEX(#REF!, 0, MATCH(_xlfn.CONCAT(D$3,"%"), #REF!, 0)), 1)=ROUND(INDEX(#REF!, 0, MATCH(_xlfn.CONCAT($A10,"%"), #REF!, 0)), 1), 1, 0)))</f>
        <v>#REF!</v>
      </c>
      <c r="E10" s="70" t="e" cm="1">
        <f t="array" ref="E10">IF(OR($A10=E$3,E$3="",$A10=""),"",SUM(IF(ROUND(INDEX(#REF!, 0, MATCH(_xlfn.CONCAT(E$3,"%"), #REF!, 0)), 1)=ROUND(INDEX(#REF!, 0, MATCH(_xlfn.CONCAT($A10,"%"), #REF!, 0)), 1), 1, 0)))</f>
        <v>#REF!</v>
      </c>
      <c r="F10" s="70" t="e" cm="1">
        <f t="array" ref="F10">IF(OR($A10=F$3,F$3="",$A10=""),"",SUM(IF(ROUND(INDEX(#REF!, 0, MATCH(_xlfn.CONCAT(F$3,"%"), #REF!, 0)), 1)=ROUND(INDEX(#REF!, 0, MATCH(_xlfn.CONCAT($A10,"%"), #REF!, 0)), 1), 1, 0)))</f>
        <v>#REF!</v>
      </c>
      <c r="G10" s="70" t="e" cm="1">
        <f t="array" ref="G10">IF(OR($A10=G$3,G$3="",$A10=""),"",SUM(IF(ROUND(INDEX(#REF!, 0, MATCH(_xlfn.CONCAT(G$3,"%"), #REF!, 0)), 1)=ROUND(INDEX(#REF!, 0, MATCH(_xlfn.CONCAT($A10,"%"), #REF!, 0)), 1), 1, 0)))</f>
        <v>#REF!</v>
      </c>
      <c r="H10" s="70" t="str" cm="1">
        <f t="array" ref="H10">IF(OR($A10=H$3,H$3="",$A10=""),"",SUM(IF(ROUND(INDEX(#REF!, 0, MATCH(_xlfn.CONCAT(H$3,"%"), #REF!, 0)), 1)=ROUND(INDEX(#REF!, 0, MATCH(_xlfn.CONCAT($A10,"%"), #REF!, 0)), 1), 1, 0)))</f>
        <v/>
      </c>
      <c r="I10" s="70"/>
      <c r="J10" s="70"/>
      <c r="K10" s="70"/>
      <c r="L10" s="70"/>
      <c r="M10" s="68"/>
      <c r="N10" s="67" t="str">
        <v>Overarching Protection</v>
      </c>
      <c r="O10" s="70" cm="1">
        <f t="array" ref="O10">IF(OR($N10=O$3,O$3="",$N10=""),"",SUM(IF(INDEX(tblSeverityAnalysis[[CCCM]:[WASH]],0,MATCH(O$3,tblSeverityAnalysis[[#Headers],[CCCM]:[WASH]],0))=INDEX(tblSeverityAnalysis[[CCCM]:[WASH]],0,MATCH($N10,tblSeverityAnalysis[[#Headers],[CCCM]:[WASH]],0)), 1, 0)))</f>
        <v>58</v>
      </c>
      <c r="P10" s="70" cm="1">
        <f t="array" ref="P10">IF(OR($N10=P$3,P$3="",$N10=""),"",SUM(IF(INDEX(tblSeverityAnalysis[[CCCM]:[WASH]],0,MATCH(P$3,tblSeverityAnalysis[[#Headers],[CCCM]:[WASH]],0))=INDEX(tblSeverityAnalysis[[CCCM]:[WASH]],0,MATCH($N10,tblSeverityAnalysis[[#Headers],[CCCM]:[WASH]],0)), 1, 0)))</f>
        <v>72</v>
      </c>
      <c r="Q10" s="70" cm="1">
        <f t="array" ref="Q10">IF(OR($N10=Q$3,Q$3="",$N10=""),"",SUM(IF(INDEX(tblSeverityAnalysis[[CCCM]:[WASH]],0,MATCH(Q$3,tblSeverityAnalysis[[#Headers],[CCCM]:[WASH]],0))=INDEX(tblSeverityAnalysis[[CCCM]:[WASH]],0,MATCH($N10,tblSeverityAnalysis[[#Headers],[CCCM]:[WASH]],0)), 1, 0)))</f>
        <v>46</v>
      </c>
      <c r="R10" s="70" cm="1">
        <f t="array" ref="R10">IF(OR($N10=R$3,R$3="",$N10=""),"",SUM(IF(INDEX(tblSeverityAnalysis[[CCCM]:[WASH]],0,MATCH(R$3,tblSeverityAnalysis[[#Headers],[CCCM]:[WASH]],0))=INDEX(tblSeverityAnalysis[[CCCM]:[WASH]],0,MATCH($N10,tblSeverityAnalysis[[#Headers],[CCCM]:[WASH]],0)), 1, 0)))</f>
        <v>64</v>
      </c>
      <c r="S10" s="70" cm="1">
        <f t="array" ref="S10">IF(OR($N10=S$3,S$3="",$N10=""),"",SUM(IF(INDEX(tblSeverityAnalysis[[CCCM]:[WASH]],0,MATCH(S$3,tblSeverityAnalysis[[#Headers],[CCCM]:[WASH]],0))=INDEX(tblSeverityAnalysis[[CCCM]:[WASH]],0,MATCH($N10,tblSeverityAnalysis[[#Headers],[CCCM]:[WASH]],0)), 1, 0)))</f>
        <v>73</v>
      </c>
      <c r="T10" s="70" cm="1">
        <f t="array" ref="T10">IF(OR($N10=T$3,T$3="",$N10=""),"",SUM(IF(INDEX(tblSeverityAnalysis[[CCCM]:[WASH]],0,MATCH(T$3,tblSeverityAnalysis[[#Headers],[CCCM]:[WASH]],0))=INDEX(tblSeverityAnalysis[[CCCM]:[WASH]],0,MATCH($N10,tblSeverityAnalysis[[#Headers],[CCCM]:[WASH]],0)), 1, 0)))</f>
        <v>74</v>
      </c>
      <c r="U10" s="70" t="str" cm="1">
        <f t="array" ref="U10">IF(OR($N10=U$3,U$3="",$N10=""),"",SUM(IF(INDEX(tblSeverityAnalysis[[CCCM]:[WASH]],0,MATCH(U$3,tblSeverityAnalysis[[#Headers],[CCCM]:[WASH]],0))=INDEX(tblSeverityAnalysis[[CCCM]:[WASH]],0,MATCH($N10,tblSeverityAnalysis[[#Headers],[CCCM]:[WASH]],0)), 1, 0)))</f>
        <v/>
      </c>
      <c r="V10" s="70"/>
      <c r="W10" s="70"/>
      <c r="X10" s="70"/>
      <c r="Y10" s="70"/>
    </row>
    <row r="11" spans="1:25" ht="37.5" customHeight="1" x14ac:dyDescent="0.55000000000000004">
      <c r="A11" s="67" t="str">
        <v>Shelter</v>
      </c>
      <c r="B11" s="70" t="e" cm="1">
        <f t="array" ref="B11">IF(OR($A11=B$3,B$3="",$A11=""),"",SUM(IF(ROUND(INDEX(#REF!, 0, MATCH(_xlfn.CONCAT(B$3,"%"), #REF!, 0)), 1)=ROUND(INDEX(#REF!, 0, MATCH(_xlfn.CONCAT($A11,"%"), #REF!, 0)), 1), 1, 0)))</f>
        <v>#REF!</v>
      </c>
      <c r="C11" s="70" t="e" cm="1">
        <f t="array" ref="C11">IF(OR($A11=C$3,C$3="",$A11=""),"",SUM(IF(ROUND(INDEX(#REF!, 0, MATCH(_xlfn.CONCAT(C$3,"%"), #REF!, 0)), 1)=ROUND(INDEX(#REF!, 0, MATCH(_xlfn.CONCAT($A11,"%"), #REF!, 0)), 1), 1, 0)))</f>
        <v>#REF!</v>
      </c>
      <c r="D11" s="70" t="e" cm="1">
        <f t="array" ref="D11">IF(OR($A11=D$3,D$3="",$A11=""),"",SUM(IF(ROUND(INDEX(#REF!, 0, MATCH(_xlfn.CONCAT(D$3,"%"), #REF!, 0)), 1)=ROUND(INDEX(#REF!, 0, MATCH(_xlfn.CONCAT($A11,"%"), #REF!, 0)), 1), 1, 0)))</f>
        <v>#REF!</v>
      </c>
      <c r="E11" s="70" t="e" cm="1">
        <f t="array" ref="E11">IF(OR($A11=E$3,E$3="",$A11=""),"",SUM(IF(ROUND(INDEX(#REF!, 0, MATCH(_xlfn.CONCAT(E$3,"%"), #REF!, 0)), 1)=ROUND(INDEX(#REF!, 0, MATCH(_xlfn.CONCAT($A11,"%"), #REF!, 0)), 1), 1, 0)))</f>
        <v>#REF!</v>
      </c>
      <c r="F11" s="70" t="e" cm="1">
        <f t="array" ref="F11">IF(OR($A11=F$3,F$3="",$A11=""),"",SUM(IF(ROUND(INDEX(#REF!, 0, MATCH(_xlfn.CONCAT(F$3,"%"), #REF!, 0)), 1)=ROUND(INDEX(#REF!, 0, MATCH(_xlfn.CONCAT($A11,"%"), #REF!, 0)), 1), 1, 0)))</f>
        <v>#REF!</v>
      </c>
      <c r="G11" s="70" t="e" cm="1">
        <f t="array" ref="G11">IF(OR($A11=G$3,G$3="",$A11=""),"",SUM(IF(ROUND(INDEX(#REF!, 0, MATCH(_xlfn.CONCAT(G$3,"%"), #REF!, 0)), 1)=ROUND(INDEX(#REF!, 0, MATCH(_xlfn.CONCAT($A11,"%"), #REF!, 0)), 1), 1, 0)))</f>
        <v>#REF!</v>
      </c>
      <c r="H11" s="70" t="e" cm="1">
        <f t="array" ref="H11">IF(OR($A11=H$3,H$3="",$A11=""),"",SUM(IF(ROUND(INDEX(#REF!, 0, MATCH(_xlfn.CONCAT(H$3,"%"), #REF!, 0)), 1)=ROUND(INDEX(#REF!, 0, MATCH(_xlfn.CONCAT($A11,"%"), #REF!, 0)), 1), 1, 0)))</f>
        <v>#REF!</v>
      </c>
      <c r="I11" s="70" t="str" cm="1">
        <f t="array" ref="I11">IF(OR($A11=I$3,I$3="",$A11=""),"",SUM(IF(ROUND(INDEX(#REF!, 0, MATCH(_xlfn.CONCAT(I$3,"%"), #REF!, 0)), 1)=ROUND(INDEX(#REF!, 0, MATCH(_xlfn.CONCAT($A11,"%"), #REF!, 0)), 1), 1, 0)))</f>
        <v/>
      </c>
      <c r="J11" s="70"/>
      <c r="K11" s="70"/>
      <c r="L11" s="70"/>
      <c r="M11" s="68"/>
      <c r="N11" s="67" t="str">
        <v>Shelter</v>
      </c>
      <c r="O11" s="70" cm="1">
        <f t="array" ref="O11">IF(OR($N11=O$3,O$3="",$N11=""),"",SUM(IF(INDEX(tblSeverityAnalysis[[CCCM]:[WASH]],0,MATCH(O$3,tblSeverityAnalysis[[#Headers],[CCCM]:[WASH]],0))=INDEX(tblSeverityAnalysis[[CCCM]:[WASH]],0,MATCH($N11,tblSeverityAnalysis[[#Headers],[CCCM]:[WASH]],0)), 1, 0)))</f>
        <v>46</v>
      </c>
      <c r="P11" s="70" cm="1">
        <f t="array" ref="P11">IF(OR($N11=P$3,P$3="",$N11=""),"",SUM(IF(INDEX(tblSeverityAnalysis[[CCCM]:[WASH]],0,MATCH(P$3,tblSeverityAnalysis[[#Headers],[CCCM]:[WASH]],0))=INDEX(tblSeverityAnalysis[[CCCM]:[WASH]],0,MATCH($N11,tblSeverityAnalysis[[#Headers],[CCCM]:[WASH]],0)), 1, 0)))</f>
        <v>53</v>
      </c>
      <c r="Q11" s="70" cm="1">
        <f t="array" ref="Q11">IF(OR($N11=Q$3,Q$3="",$N11=""),"",SUM(IF(INDEX(tblSeverityAnalysis[[CCCM]:[WASH]],0,MATCH(Q$3,tblSeverityAnalysis[[#Headers],[CCCM]:[WASH]],0))=INDEX(tblSeverityAnalysis[[CCCM]:[WASH]],0,MATCH($N11,tblSeverityAnalysis[[#Headers],[CCCM]:[WASH]],0)), 1, 0)))</f>
        <v>46</v>
      </c>
      <c r="R11" s="70" cm="1">
        <f t="array" ref="R11">IF(OR($N11=R$3,R$3="",$N11=""),"",SUM(IF(INDEX(tblSeverityAnalysis[[CCCM]:[WASH]],0,MATCH(R$3,tblSeverityAnalysis[[#Headers],[CCCM]:[WASH]],0))=INDEX(tblSeverityAnalysis[[CCCM]:[WASH]],0,MATCH($N11,tblSeverityAnalysis[[#Headers],[CCCM]:[WASH]],0)), 1, 0)))</f>
        <v>55</v>
      </c>
      <c r="S11" s="70" cm="1">
        <f t="array" ref="S11">IF(OR($N11=S$3,S$3="",$N11=""),"",SUM(IF(INDEX(tblSeverityAnalysis[[CCCM]:[WASH]],0,MATCH(S$3,tblSeverityAnalysis[[#Headers],[CCCM]:[WASH]],0))=INDEX(tblSeverityAnalysis[[CCCM]:[WASH]],0,MATCH($N11,tblSeverityAnalysis[[#Headers],[CCCM]:[WASH]],0)), 1, 0)))</f>
        <v>52</v>
      </c>
      <c r="T11" s="70" cm="1">
        <f t="array" ref="T11">IF(OR($N11=T$3,T$3="",$N11=""),"",SUM(IF(INDEX(tblSeverityAnalysis[[CCCM]:[WASH]],0,MATCH(T$3,tblSeverityAnalysis[[#Headers],[CCCM]:[WASH]],0))=INDEX(tblSeverityAnalysis[[CCCM]:[WASH]],0,MATCH($N11,tblSeverityAnalysis[[#Headers],[CCCM]:[WASH]],0)), 1, 0)))</f>
        <v>63</v>
      </c>
      <c r="U11" s="70" cm="1">
        <f t="array" ref="U11">IF(OR($N11=U$3,U$3="",$N11=""),"",SUM(IF(INDEX(tblSeverityAnalysis[[CCCM]:[WASH]],0,MATCH(U$3,tblSeverityAnalysis[[#Headers],[CCCM]:[WASH]],0))=INDEX(tblSeverityAnalysis[[CCCM]:[WASH]],0,MATCH($N11,tblSeverityAnalysis[[#Headers],[CCCM]:[WASH]],0)), 1, 0)))</f>
        <v>71</v>
      </c>
      <c r="V11" s="70" t="str" cm="1">
        <f t="array" ref="V11">IF(OR($N11=V$3,V$3="",$N11=""),"",SUM(IF(INDEX(tblSeverityAnalysis[[CCCM]:[WASH]],0,MATCH(V$3,tblSeverityAnalysis[[#Headers],[CCCM]:[WASH]],0))=INDEX(tblSeverityAnalysis[[CCCM]:[WASH]],0,MATCH($N11,tblSeverityAnalysis[[#Headers],[CCCM]:[WASH]],0)), 1, 0)))</f>
        <v/>
      </c>
      <c r="W11" s="70"/>
      <c r="X11" s="70"/>
      <c r="Y11" s="70"/>
    </row>
    <row r="12" spans="1:25" ht="37.5" customHeight="1" x14ac:dyDescent="0.55000000000000004">
      <c r="A12" s="67" t="str">
        <v>WASH</v>
      </c>
      <c r="B12" s="70" t="e" cm="1">
        <f t="array" ref="B12">IF(OR($A12=B$3,B$3="",$A12=""),"",SUM(IF(ROUND(INDEX(#REF!, 0, MATCH(_xlfn.CONCAT(B$3,"%"), #REF!, 0)), 1)=ROUND(INDEX(#REF!, 0, MATCH(_xlfn.CONCAT($A12,"%"), #REF!, 0)), 1), 1, 0)))</f>
        <v>#REF!</v>
      </c>
      <c r="C12" s="70" t="e" cm="1">
        <f t="array" ref="C12">IF(OR($A12=C$3,C$3="",$A12=""),"",SUM(IF(ROUND(INDEX(#REF!, 0, MATCH(_xlfn.CONCAT(C$3,"%"), #REF!, 0)), 1)=ROUND(INDEX(#REF!, 0, MATCH(_xlfn.CONCAT($A12,"%"), #REF!, 0)), 1), 1, 0)))</f>
        <v>#REF!</v>
      </c>
      <c r="D12" s="70" t="e" cm="1">
        <f t="array" ref="D12">IF(OR($A12=D$3,D$3="",$A12=""),"",SUM(IF(ROUND(INDEX(#REF!, 0, MATCH(_xlfn.CONCAT(D$3,"%"), #REF!, 0)), 1)=ROUND(INDEX(#REF!, 0, MATCH(_xlfn.CONCAT($A12,"%"), #REF!, 0)), 1), 1, 0)))</f>
        <v>#REF!</v>
      </c>
      <c r="E12" s="70" t="e" cm="1">
        <f t="array" ref="E12">IF(OR($A12=E$3,E$3="",$A12=""),"",SUM(IF(ROUND(INDEX(#REF!, 0, MATCH(_xlfn.CONCAT(E$3,"%"), #REF!, 0)), 1)=ROUND(INDEX(#REF!, 0, MATCH(_xlfn.CONCAT($A12,"%"), #REF!, 0)), 1), 1, 0)))</f>
        <v>#REF!</v>
      </c>
      <c r="F12" s="70" t="e" cm="1">
        <f t="array" ref="F12">IF(OR($A12=F$3,F$3="",$A12=""),"",SUM(IF(ROUND(INDEX(#REF!, 0, MATCH(_xlfn.CONCAT(F$3,"%"), #REF!, 0)), 1)=ROUND(INDEX(#REF!, 0, MATCH(_xlfn.CONCAT($A12,"%"), #REF!, 0)), 1), 1, 0)))</f>
        <v>#REF!</v>
      </c>
      <c r="G12" s="70" t="e" cm="1">
        <f t="array" ref="G12">IF(OR($A12=G$3,G$3="",$A12=""),"",SUM(IF(ROUND(INDEX(#REF!, 0, MATCH(_xlfn.CONCAT(G$3,"%"), #REF!, 0)), 1)=ROUND(INDEX(#REF!, 0, MATCH(_xlfn.CONCAT($A12,"%"), #REF!, 0)), 1), 1, 0)))</f>
        <v>#REF!</v>
      </c>
      <c r="H12" s="70" t="e" cm="1">
        <f t="array" ref="H12">IF(OR($A12=H$3,H$3="",$A12=""),"",SUM(IF(ROUND(INDEX(#REF!, 0, MATCH(_xlfn.CONCAT(H$3,"%"), #REF!, 0)), 1)=ROUND(INDEX(#REF!, 0, MATCH(_xlfn.CONCAT($A12,"%"), #REF!, 0)), 1), 1, 0)))</f>
        <v>#REF!</v>
      </c>
      <c r="I12" s="70" t="e" cm="1">
        <f t="array" ref="I12">IF(OR($A12=I$3,I$3="",$A12=""),"",SUM(IF(ROUND(INDEX(#REF!, 0, MATCH(_xlfn.CONCAT(I$3,"%"), #REF!, 0)), 1)=ROUND(INDEX(#REF!, 0, MATCH(_xlfn.CONCAT($A12,"%"), #REF!, 0)), 1), 1, 0)))</f>
        <v>#REF!</v>
      </c>
      <c r="J12" s="70" t="str" cm="1">
        <f t="array" ref="J12">IF(OR($A12=J$3,J$3="",$A12=""),"",SUM(IF(ROUND(INDEX(#REF!, 0, MATCH(_xlfn.CONCAT(J$3,"%"), #REF!, 0)), 1)=ROUND(INDEX(#REF!, 0, MATCH(_xlfn.CONCAT($A12,"%"), #REF!, 0)), 1), 1, 0)))</f>
        <v/>
      </c>
      <c r="K12" s="70"/>
      <c r="L12" s="70"/>
      <c r="M12" s="68"/>
      <c r="N12" s="67" t="str">
        <v>WASH</v>
      </c>
      <c r="O12" s="70" cm="1">
        <f t="array" ref="O12">IF(OR($N12=O$3,O$3="",$N12=""),"",SUM(IF(INDEX(tblSeverityAnalysis[[CCCM]:[WASH]],0,MATCH(O$3,tblSeverityAnalysis[[#Headers],[CCCM]:[WASH]],0))=INDEX(tblSeverityAnalysis[[CCCM]:[WASH]],0,MATCH($N12,tblSeverityAnalysis[[#Headers],[CCCM]:[WASH]],0)), 1, 0)))</f>
        <v>49</v>
      </c>
      <c r="P12" s="70" cm="1">
        <f t="array" ref="P12">IF(OR($N12=P$3,P$3="",$N12=""),"",SUM(IF(INDEX(tblSeverityAnalysis[[CCCM]:[WASH]],0,MATCH(P$3,tblSeverityAnalysis[[#Headers],[CCCM]:[WASH]],0))=INDEX(tblSeverityAnalysis[[CCCM]:[WASH]],0,MATCH($N12,tblSeverityAnalysis[[#Headers],[CCCM]:[WASH]],0)), 1, 0)))</f>
        <v>60</v>
      </c>
      <c r="Q12" s="70" cm="1">
        <f t="array" ref="Q12">IF(OR($N12=Q$3,Q$3="",$N12=""),"",SUM(IF(INDEX(tblSeverityAnalysis[[CCCM]:[WASH]],0,MATCH(Q$3,tblSeverityAnalysis[[#Headers],[CCCM]:[WASH]],0))=INDEX(tblSeverityAnalysis[[CCCM]:[WASH]],0,MATCH($N12,tblSeverityAnalysis[[#Headers],[CCCM]:[WASH]],0)), 1, 0)))</f>
        <v>46</v>
      </c>
      <c r="R12" s="70" cm="1">
        <f t="array" ref="R12">IF(OR($N12=R$3,R$3="",$N12=""),"",SUM(IF(INDEX(tblSeverityAnalysis[[CCCM]:[WASH]],0,MATCH(R$3,tblSeverityAnalysis[[#Headers],[CCCM]:[WASH]],0))=INDEX(tblSeverityAnalysis[[CCCM]:[WASH]],0,MATCH($N12,tblSeverityAnalysis[[#Headers],[CCCM]:[WASH]],0)), 1, 0)))</f>
        <v>72</v>
      </c>
      <c r="S12" s="70" cm="1">
        <f t="array" ref="S12">IF(OR($N12=S$3,S$3="",$N12=""),"",SUM(IF(INDEX(tblSeverityAnalysis[[CCCM]:[WASH]],0,MATCH(S$3,tblSeverityAnalysis[[#Headers],[CCCM]:[WASH]],0))=INDEX(tblSeverityAnalysis[[CCCM]:[WASH]],0,MATCH($N12,tblSeverityAnalysis[[#Headers],[CCCM]:[WASH]],0)), 1, 0)))</f>
        <v>74</v>
      </c>
      <c r="T12" s="70" cm="1">
        <f t="array" ref="T12">IF(OR($N12=T$3,T$3="",$N12=""),"",SUM(IF(INDEX(tblSeverityAnalysis[[CCCM]:[WASH]],0,MATCH(T$3,tblSeverityAnalysis[[#Headers],[CCCM]:[WASH]],0))=INDEX(tblSeverityAnalysis[[CCCM]:[WASH]],0,MATCH($N12,tblSeverityAnalysis[[#Headers],[CCCM]:[WASH]],0)), 1, 0)))</f>
        <v>65</v>
      </c>
      <c r="U12" s="70" cm="1">
        <f t="array" ref="U12">IF(OR($N12=U$3,U$3="",$N12=""),"",SUM(IF(INDEX(tblSeverityAnalysis[[CCCM]:[WASH]],0,MATCH(U$3,tblSeverityAnalysis[[#Headers],[CCCM]:[WASH]],0))=INDEX(tblSeverityAnalysis[[CCCM]:[WASH]],0,MATCH($N12,tblSeverityAnalysis[[#Headers],[CCCM]:[WASH]],0)), 1, 0)))</f>
        <v>68</v>
      </c>
      <c r="V12" s="70" cm="1">
        <f t="array" ref="V12">IF(OR($N12=V$3,V$3="",$N12=""),"",SUM(IF(INDEX(tblSeverityAnalysis[[CCCM]:[WASH]],0,MATCH(V$3,tblSeverityAnalysis[[#Headers],[CCCM]:[WASH]],0))=INDEX(tblSeverityAnalysis[[CCCM]:[WASH]],0,MATCH($N12,tblSeverityAnalysis[[#Headers],[CCCM]:[WASH]],0)), 1, 0)))</f>
        <v>62</v>
      </c>
      <c r="W12" s="70" t="str" cm="1">
        <f t="array" ref="W12">IF(OR($N12=W$3,W$3="",$N12=""),"",SUM(IF(INDEX(tblSeverityAnalysis[[CCCM]:[WASH]],0,MATCH(W$3,tblSeverityAnalysis[[#Headers],[CCCM]:[WASH]],0))=INDEX(tblSeverityAnalysis[[CCCM]:[WASH]],0,MATCH($N12,tblSeverityAnalysis[[#Headers],[CCCM]:[WASH]],0)), 1, 0)))</f>
        <v/>
      </c>
      <c r="X12" s="70"/>
      <c r="Y12" s="70"/>
    </row>
    <row r="13" spans="1:25" ht="37.5" customHeight="1" x14ac:dyDescent="0.55000000000000004">
      <c r="A13" s="67"/>
      <c r="B13" s="70" t="str" cm="1">
        <f t="array" ref="B13">IF(OR($A13=B$3,B$3="",$A13=""),"",SUM(IF(ROUND(INDEX(#REF!, 0, MATCH(_xlfn.CONCAT(B$3,"%"), #REF!, 0)), 1)=ROUND(INDEX(#REF!, 0, MATCH(_xlfn.CONCAT($A13,"%"), #REF!, 0)), 1), 1, 0)))</f>
        <v/>
      </c>
      <c r="C13" s="70" t="str" cm="1">
        <f t="array" ref="C13">IF(OR($A13=C$3,C$3="",$A13=""),"",SUM(IF(ROUND(INDEX(#REF!, 0, MATCH(_xlfn.CONCAT(C$3,"%"), #REF!, 0)), 1)=ROUND(INDEX(#REF!, 0, MATCH(_xlfn.CONCAT($A13,"%"), #REF!, 0)), 1), 1, 0)))</f>
        <v/>
      </c>
      <c r="D13" s="70" t="str" cm="1">
        <f t="array" ref="D13">IF(OR($A13=D$3,D$3="",$A13=""),"",SUM(IF(ROUND(INDEX(#REF!, 0, MATCH(_xlfn.CONCAT(D$3,"%"), #REF!, 0)), 1)=ROUND(INDEX(#REF!, 0, MATCH(_xlfn.CONCAT($A13,"%"), #REF!, 0)), 1), 1, 0)))</f>
        <v/>
      </c>
      <c r="E13" s="70" t="str" cm="1">
        <f t="array" ref="E13">IF(OR($A13=E$3,E$3="",$A13=""),"",SUM(IF(ROUND(INDEX(#REF!, 0, MATCH(_xlfn.CONCAT(E$3,"%"), #REF!, 0)), 1)=ROUND(INDEX(#REF!, 0, MATCH(_xlfn.CONCAT($A13,"%"), #REF!, 0)), 1), 1, 0)))</f>
        <v/>
      </c>
      <c r="F13" s="70" t="str" cm="1">
        <f t="array" ref="F13">IF(OR($A13=F$3,F$3="",$A13=""),"",SUM(IF(ROUND(INDEX(#REF!, 0, MATCH(_xlfn.CONCAT(F$3,"%"), #REF!, 0)), 1)=ROUND(INDEX(#REF!, 0, MATCH(_xlfn.CONCAT($A13,"%"), #REF!, 0)), 1), 1, 0)))</f>
        <v/>
      </c>
      <c r="G13" s="70" t="str" cm="1">
        <f t="array" ref="G13">IF(OR($A13=G$3,G$3="",$A13=""),"",SUM(IF(ROUND(INDEX(#REF!, 0, MATCH(_xlfn.CONCAT(G$3,"%"), #REF!, 0)), 1)=ROUND(INDEX(#REF!, 0, MATCH(_xlfn.CONCAT($A13,"%"), #REF!, 0)), 1), 1, 0)))</f>
        <v/>
      </c>
      <c r="H13" s="70" t="str" cm="1">
        <f t="array" ref="H13">IF(OR($A13=H$3,H$3="",$A13=""),"",SUM(IF(ROUND(INDEX(#REF!, 0, MATCH(_xlfn.CONCAT(H$3,"%"), #REF!, 0)), 1)=ROUND(INDEX(#REF!, 0, MATCH(_xlfn.CONCAT($A13,"%"), #REF!, 0)), 1), 1, 0)))</f>
        <v/>
      </c>
      <c r="I13" s="70" t="str" cm="1">
        <f t="array" ref="I13">IF(OR($A13=I$3,I$3="",$A13=""),"",SUM(IF(ROUND(INDEX(#REF!, 0, MATCH(_xlfn.CONCAT(I$3,"%"), #REF!, 0)), 1)=ROUND(INDEX(#REF!, 0, MATCH(_xlfn.CONCAT($A13,"%"), #REF!, 0)), 1), 1, 0)))</f>
        <v/>
      </c>
      <c r="J13" s="70" t="str" cm="1">
        <f t="array" ref="J13">IF(OR($A13=J$3,J$3="",$A13=""),"",SUM(IF(ROUND(INDEX(#REF!, 0, MATCH(_xlfn.CONCAT(J$3,"%"), #REF!, 0)), 1)=ROUND(INDEX(#REF!, 0, MATCH(_xlfn.CONCAT($A13,"%"), #REF!, 0)), 1), 1, 0)))</f>
        <v/>
      </c>
      <c r="K13" s="70" t="str" cm="1">
        <f t="array" ref="K13">IF(OR($A13=K$3,K$3="",$A13=""),"",SUM(IF(ROUND(INDEX(#REF!, 0, MATCH(_xlfn.CONCAT(K$3,"%"), #REF!, 0)), 1)=ROUND(INDEX(#REF!, 0, MATCH(_xlfn.CONCAT($A13,"%"), #REF!, 0)), 1), 1, 0)))</f>
        <v/>
      </c>
      <c r="L13" s="70"/>
      <c r="M13" s="68"/>
      <c r="N13" s="67"/>
      <c r="O13" s="70" t="str" cm="1">
        <f t="array" ref="O13">IF(OR($N13=O$3,O$3="",$N13=""),"",SUM(IF(INDEX(tblSeverityAnalysis[[CCCM]:[WASH]],0,MATCH(O$3,tblSeverityAnalysis[[#Headers],[CCCM]:[WASH]],0))=INDEX(tblSeverityAnalysis[[CCCM]:[WASH]],0,MATCH($N13,tblSeverityAnalysis[[#Headers],[CCCM]:[WASH]],0)), 1, 0)))</f>
        <v/>
      </c>
      <c r="P13" s="70" t="str" cm="1">
        <f t="array" ref="P13">IF(OR($N13=P$3,P$3="",$N13=""),"",SUM(IF(INDEX(tblSeverityAnalysis[[CCCM]:[WASH]],0,MATCH(P$3,tblSeverityAnalysis[[#Headers],[CCCM]:[WASH]],0))=INDEX(tblSeverityAnalysis[[CCCM]:[WASH]],0,MATCH($N13,tblSeverityAnalysis[[#Headers],[CCCM]:[WASH]],0)), 1, 0)))</f>
        <v/>
      </c>
      <c r="Q13" s="70" t="str" cm="1">
        <f t="array" ref="Q13">IF(OR($N13=Q$3,Q$3="",$N13=""),"",SUM(IF(INDEX(tblSeverityAnalysis[[CCCM]:[WASH]],0,MATCH(Q$3,tblSeverityAnalysis[[#Headers],[CCCM]:[WASH]],0))=INDEX(tblSeverityAnalysis[[CCCM]:[WASH]],0,MATCH($N13,tblSeverityAnalysis[[#Headers],[CCCM]:[WASH]],0)), 1, 0)))</f>
        <v/>
      </c>
      <c r="R13" s="70" t="str" cm="1">
        <f t="array" ref="R13">IF(OR($N13=R$3,R$3="",$N13=""),"",SUM(IF(INDEX(tblSeverityAnalysis[[CCCM]:[WASH]],0,MATCH(R$3,tblSeverityAnalysis[[#Headers],[CCCM]:[WASH]],0))=INDEX(tblSeverityAnalysis[[CCCM]:[WASH]],0,MATCH($N13,tblSeverityAnalysis[[#Headers],[CCCM]:[WASH]],0)), 1, 0)))</f>
        <v/>
      </c>
      <c r="S13" s="70" t="str" cm="1">
        <f t="array" ref="S13">IF(OR($N13=S$3,S$3="",$N13=""),"",SUM(IF(INDEX(tblSeverityAnalysis[[CCCM]:[WASH]],0,MATCH(S$3,tblSeverityAnalysis[[#Headers],[CCCM]:[WASH]],0))=INDEX(tblSeverityAnalysis[[CCCM]:[WASH]],0,MATCH($N13,tblSeverityAnalysis[[#Headers],[CCCM]:[WASH]],0)), 1, 0)))</f>
        <v/>
      </c>
      <c r="T13" s="70" t="str" cm="1">
        <f t="array" ref="T13">IF(OR($N13=T$3,T$3="",$N13=""),"",SUM(IF(INDEX(tblSeverityAnalysis[[CCCM]:[WASH]],0,MATCH(T$3,tblSeverityAnalysis[[#Headers],[CCCM]:[WASH]],0))=INDEX(tblSeverityAnalysis[[CCCM]:[WASH]],0,MATCH($N13,tblSeverityAnalysis[[#Headers],[CCCM]:[WASH]],0)), 1, 0)))</f>
        <v/>
      </c>
      <c r="U13" s="70" t="str" cm="1">
        <f t="array" ref="U13">IF(OR($N13=U$3,U$3="",$N13=""),"",SUM(IF(INDEX(tblSeverityAnalysis[[CCCM]:[WASH]],0,MATCH(U$3,tblSeverityAnalysis[[#Headers],[CCCM]:[WASH]],0))=INDEX(tblSeverityAnalysis[[CCCM]:[WASH]],0,MATCH($N13,tblSeverityAnalysis[[#Headers],[CCCM]:[WASH]],0)), 1, 0)))</f>
        <v/>
      </c>
      <c r="V13" s="70" t="str" cm="1">
        <f t="array" ref="V13">IF(OR($N13=V$3,V$3="",$N13=""),"",SUM(IF(INDEX(tblSeverityAnalysis[[CCCM]:[WASH]],0,MATCH(V$3,tblSeverityAnalysis[[#Headers],[CCCM]:[WASH]],0))=INDEX(tblSeverityAnalysis[[CCCM]:[WASH]],0,MATCH($N13,tblSeverityAnalysis[[#Headers],[CCCM]:[WASH]],0)), 1, 0)))</f>
        <v/>
      </c>
      <c r="W13" s="70" t="str" cm="1">
        <f t="array" ref="W13">IF(OR($N13=W$3,W$3="",$N13=""),"",SUM(IF(INDEX(tblSeverityAnalysis[[CCCM]:[WASH]],0,MATCH(W$3,tblSeverityAnalysis[[#Headers],[CCCM]:[WASH]],0))=INDEX(tblSeverityAnalysis[[CCCM]:[WASH]],0,MATCH($N13,tblSeverityAnalysis[[#Headers],[CCCM]:[WASH]],0)), 1, 0)))</f>
        <v/>
      </c>
      <c r="X13" s="70" t="str" cm="1">
        <f t="array" ref="X13">IF(OR($N13=X$3,X$3="",$N13=""),"",SUM(IF(INDEX(tblSeverityAnalysis[[CCCM]:[WASH]],0,MATCH(X$3,tblSeverityAnalysis[[#Headers],[CCCM]:[WASH]],0))=INDEX(tblSeverityAnalysis[[CCCM]:[WASH]],0,MATCH($N13,tblSeverityAnalysis[[#Headers],[CCCM]:[WASH]],0)), 1, 0)))</f>
        <v/>
      </c>
      <c r="Y13" s="70"/>
    </row>
    <row r="14" spans="1:25" ht="37.5" customHeight="1" x14ac:dyDescent="0.55000000000000004">
      <c r="A14" s="67"/>
      <c r="B14" s="70" t="str" cm="1">
        <f t="array" ref="B14">IF(OR($A14=B$3,B$3="",$A14=""),"",SUM(IF(ROUND(INDEX(#REF!, 0, MATCH(_xlfn.CONCAT(B$3,"%"), #REF!, 0)), 1)=ROUND(INDEX(#REF!, 0, MATCH(_xlfn.CONCAT($A14,"%"), #REF!, 0)), 1), 1, 0)))</f>
        <v/>
      </c>
      <c r="C14" s="70" t="str" cm="1">
        <f t="array" ref="C14">IF(OR($A14=C$3,C$3="",$A14=""),"",SUM(IF(ROUND(INDEX(#REF!, 0, MATCH(_xlfn.CONCAT(C$3,"%"), #REF!, 0)), 1)=ROUND(INDEX(#REF!, 0, MATCH(_xlfn.CONCAT($A14,"%"), #REF!, 0)), 1), 1, 0)))</f>
        <v/>
      </c>
      <c r="D14" s="70" t="str" cm="1">
        <f t="array" ref="D14">IF(OR($A14=D$3,D$3="",$A14=""),"",SUM(IF(ROUND(INDEX(#REF!, 0, MATCH(_xlfn.CONCAT(D$3,"%"), #REF!, 0)), 1)=ROUND(INDEX(#REF!, 0, MATCH(_xlfn.CONCAT($A14,"%"), #REF!, 0)), 1), 1, 0)))</f>
        <v/>
      </c>
      <c r="E14" s="70" t="str" cm="1">
        <f t="array" ref="E14">IF(OR($A14=E$3,E$3="",$A14=""),"",SUM(IF(ROUND(INDEX(#REF!, 0, MATCH(_xlfn.CONCAT(E$3,"%"), #REF!, 0)), 1)=ROUND(INDEX(#REF!, 0, MATCH(_xlfn.CONCAT($A14,"%"), #REF!, 0)), 1), 1, 0)))</f>
        <v/>
      </c>
      <c r="F14" s="70" t="str" cm="1">
        <f t="array" ref="F14">IF(OR($A14=F$3,F$3="",$A14=""),"",SUM(IF(ROUND(INDEX(#REF!, 0, MATCH(_xlfn.CONCAT(F$3,"%"), #REF!, 0)), 1)=ROUND(INDEX(#REF!, 0, MATCH(_xlfn.CONCAT($A14,"%"), #REF!, 0)), 1), 1, 0)))</f>
        <v/>
      </c>
      <c r="G14" s="70" t="str" cm="1">
        <f t="array" ref="G14">IF(OR($A14=G$3,G$3="",$A14=""),"",SUM(IF(ROUND(INDEX(#REF!, 0, MATCH(_xlfn.CONCAT(G$3,"%"), #REF!, 0)), 1)=ROUND(INDEX(#REF!, 0, MATCH(_xlfn.CONCAT($A14,"%"), #REF!, 0)), 1), 1, 0)))</f>
        <v/>
      </c>
      <c r="H14" s="70" t="str" cm="1">
        <f t="array" ref="H14">IF(OR($A14=H$3,H$3="",$A14=""),"",SUM(IF(ROUND(INDEX(#REF!, 0, MATCH(_xlfn.CONCAT(H$3,"%"), #REF!, 0)), 1)=ROUND(INDEX(#REF!, 0, MATCH(_xlfn.CONCAT($A14,"%"), #REF!, 0)), 1), 1, 0)))</f>
        <v/>
      </c>
      <c r="I14" s="70" t="str" cm="1">
        <f t="array" ref="I14">IF(OR($A14=I$3,I$3="",$A14=""),"",SUM(IF(ROUND(INDEX(#REF!, 0, MATCH(_xlfn.CONCAT(I$3,"%"), #REF!, 0)), 1)=ROUND(INDEX(#REF!, 0, MATCH(_xlfn.CONCAT($A14,"%"), #REF!, 0)), 1), 1, 0)))</f>
        <v/>
      </c>
      <c r="J14" s="70" t="str" cm="1">
        <f t="array" ref="J14">IF(OR($A14=J$3,J$3="",$A14=""),"",SUM(IF(ROUND(INDEX(#REF!, 0, MATCH(_xlfn.CONCAT(J$3,"%"), #REF!, 0)), 1)=ROUND(INDEX(#REF!, 0, MATCH(_xlfn.CONCAT($A14,"%"), #REF!, 0)), 1), 1, 0)))</f>
        <v/>
      </c>
      <c r="K14" s="70" t="str" cm="1">
        <f t="array" ref="K14">IF(OR($A14=K$3,K$3="",$A14=""),"",SUM(IF(ROUND(INDEX(#REF!, 0, MATCH(_xlfn.CONCAT(K$3,"%"), #REF!, 0)), 1)=ROUND(INDEX(#REF!, 0, MATCH(_xlfn.CONCAT($A14,"%"), #REF!, 0)), 1), 1, 0)))</f>
        <v/>
      </c>
      <c r="L14" s="70" t="str" cm="1">
        <f t="array" ref="L14">IF(OR($A14=L$3,L$3="",$A14=""),"",SUM(IF(ROUND(INDEX(#REF!, 0, MATCH(_xlfn.CONCAT(L$3,"%"), #REF!, 0)), 1)=ROUND(INDEX(#REF!, 0, MATCH(_xlfn.CONCAT($A14,"%"), #REF!, 0)), 1), 1, 0)))</f>
        <v/>
      </c>
      <c r="M14" s="68"/>
      <c r="N14" s="67"/>
      <c r="O14" s="70" t="str" cm="1">
        <f t="array" ref="O14">IF(OR($N14=O$3,O$3="",$N14=""),"",SUM(IF(INDEX(tblSeverityAnalysis[[CCCM]:[WASH]],0,MATCH(O$3,tblSeverityAnalysis[[#Headers],[CCCM]:[WASH]],0))=INDEX(tblSeverityAnalysis[[CCCM]:[WASH]],0,MATCH($N14,tblSeverityAnalysis[[#Headers],[CCCM]:[WASH]],0)), 1, 0)))</f>
        <v/>
      </c>
      <c r="P14" s="70" t="str" cm="1">
        <f t="array" ref="P14">IF(OR($N14=P$3,P$3="",$N14=""),"",SUM(IF(INDEX(tblSeverityAnalysis[[CCCM]:[WASH]],0,MATCH(P$3,tblSeverityAnalysis[[#Headers],[CCCM]:[WASH]],0))=INDEX(tblSeverityAnalysis[[CCCM]:[WASH]],0,MATCH($N14,tblSeverityAnalysis[[#Headers],[CCCM]:[WASH]],0)), 1, 0)))</f>
        <v/>
      </c>
      <c r="Q14" s="70" t="str" cm="1">
        <f t="array" ref="Q14">IF(OR($N14=Q$3,Q$3="",$N14=""),"",SUM(IF(INDEX(tblSeverityAnalysis[[CCCM]:[WASH]],0,MATCH(Q$3,tblSeverityAnalysis[[#Headers],[CCCM]:[WASH]],0))=INDEX(tblSeverityAnalysis[[CCCM]:[WASH]],0,MATCH($N14,tblSeverityAnalysis[[#Headers],[CCCM]:[WASH]],0)), 1, 0)))</f>
        <v/>
      </c>
      <c r="R14" s="70" t="str" cm="1">
        <f t="array" ref="R14">IF(OR($N14=R$3,R$3="",$N14=""),"",SUM(IF(INDEX(tblSeverityAnalysis[[CCCM]:[WASH]],0,MATCH(R$3,tblSeverityAnalysis[[#Headers],[CCCM]:[WASH]],0))=INDEX(tblSeverityAnalysis[[CCCM]:[WASH]],0,MATCH($N14,tblSeverityAnalysis[[#Headers],[CCCM]:[WASH]],0)), 1, 0)))</f>
        <v/>
      </c>
      <c r="S14" s="70" t="str" cm="1">
        <f t="array" ref="S14">IF(OR($N14=S$3,S$3="",$N14=""),"",SUM(IF(INDEX(tblSeverityAnalysis[[CCCM]:[WASH]],0,MATCH(S$3,tblSeverityAnalysis[[#Headers],[CCCM]:[WASH]],0))=INDEX(tblSeverityAnalysis[[CCCM]:[WASH]],0,MATCH($N14,tblSeverityAnalysis[[#Headers],[CCCM]:[WASH]],0)), 1, 0)))</f>
        <v/>
      </c>
      <c r="T14" s="70" t="str" cm="1">
        <f t="array" ref="T14">IF(OR($N14=T$3,T$3="",$N14=""),"",SUM(IF(INDEX(tblSeverityAnalysis[[CCCM]:[WASH]],0,MATCH(T$3,tblSeverityAnalysis[[#Headers],[CCCM]:[WASH]],0))=INDEX(tblSeverityAnalysis[[CCCM]:[WASH]],0,MATCH($N14,tblSeverityAnalysis[[#Headers],[CCCM]:[WASH]],0)), 1, 0)))</f>
        <v/>
      </c>
      <c r="U14" s="70" t="str" cm="1">
        <f t="array" ref="U14">IF(OR($N14=U$3,U$3="",$N14=""),"",SUM(IF(INDEX(tblSeverityAnalysis[[CCCM]:[WASH]],0,MATCH(U$3,tblSeverityAnalysis[[#Headers],[CCCM]:[WASH]],0))=INDEX(tblSeverityAnalysis[[CCCM]:[WASH]],0,MATCH($N14,tblSeverityAnalysis[[#Headers],[CCCM]:[WASH]],0)), 1, 0)))</f>
        <v/>
      </c>
      <c r="V14" s="70" t="str" cm="1">
        <f t="array" ref="V14">IF(OR($N14=V$3,V$3="",$N14=""),"",SUM(IF(INDEX(tblSeverityAnalysis[[CCCM]:[WASH]],0,MATCH(V$3,tblSeverityAnalysis[[#Headers],[CCCM]:[WASH]],0))=INDEX(tblSeverityAnalysis[[CCCM]:[WASH]],0,MATCH($N14,tblSeverityAnalysis[[#Headers],[CCCM]:[WASH]],0)), 1, 0)))</f>
        <v/>
      </c>
      <c r="W14" s="70" t="str" cm="1">
        <f t="array" ref="W14">IF(OR($N14=W$3,W$3="",$N14=""),"",SUM(IF(INDEX(tblSeverityAnalysis[[CCCM]:[WASH]],0,MATCH(W$3,tblSeverityAnalysis[[#Headers],[CCCM]:[WASH]],0))=INDEX(tblSeverityAnalysis[[CCCM]:[WASH]],0,MATCH($N14,tblSeverityAnalysis[[#Headers],[CCCM]:[WASH]],0)), 1, 0)))</f>
        <v/>
      </c>
      <c r="X14" s="70" t="str" cm="1">
        <f t="array" ref="X14">IF(OR($N14=X$3,X$3="",$N14=""),"",SUM(IF(INDEX(tblSeverityAnalysis[[CCCM]:[WASH]],0,MATCH(X$3,tblSeverityAnalysis[[#Headers],[CCCM]:[WASH]],0))=INDEX(tblSeverityAnalysis[[CCCM]:[WASH]],0,MATCH($N14,tblSeverityAnalysis[[#Headers],[CCCM]:[WASH]],0)), 1, 0)))</f>
        <v/>
      </c>
      <c r="Y14" s="70" t="str" cm="1">
        <f t="array" ref="Y14">IF(OR($N14=Y$3,Y$3="",$N14=""),"",SUM(IF(INDEX(tblSeverityAnalysis[[CCCM]:[WASH]],0,MATCH(Y$3,tblSeverityAnalysis[[#Headers],[CCCM]:[WASH]],0))=INDEX(tblSeverityAnalysis[[CCCM]:[WASH]],0,MATCH($N14,tblSeverityAnalysis[[#Headers],[CCCM]:[WASH]],0)), 1, 0)))</f>
        <v/>
      </c>
    </row>
    <row r="15" spans="1:25" x14ac:dyDescent="0.55000000000000004">
      <c r="M15" s="68"/>
    </row>
  </sheetData>
  <mergeCells count="2">
    <mergeCell ref="A1:K2"/>
    <mergeCell ref="N1:Y2"/>
  </mergeCells>
  <conditionalFormatting sqref="A4:A14">
    <cfRule type="notContainsBlanks" dxfId="11" priority="5">
      <formula>LEN(TRIM(A4))&gt;0</formula>
    </cfRule>
  </conditionalFormatting>
  <conditionalFormatting sqref="B3:L3">
    <cfRule type="notContainsBlanks" dxfId="10" priority="7">
      <formula>LEN(TRIM(B3))&gt;0</formula>
    </cfRule>
  </conditionalFormatting>
  <conditionalFormatting sqref="B4:L14">
    <cfRule type="notContainsBlanks" dxfId="9" priority="6">
      <formula>LEN(TRIM(B4))&gt;0</formula>
    </cfRule>
    <cfRule type="colorScale" priority="8">
      <colorScale>
        <cfvo type="min"/>
        <cfvo type="max"/>
        <color theme="8" tint="0.79998168889431442"/>
        <color theme="8" tint="-0.249977111117893"/>
      </colorScale>
    </cfRule>
  </conditionalFormatting>
  <conditionalFormatting sqref="N4:N14">
    <cfRule type="notContainsBlanks" dxfId="8" priority="1">
      <formula>LEN(TRIM(N4))&gt;0</formula>
    </cfRule>
  </conditionalFormatting>
  <conditionalFormatting sqref="O3:Y3">
    <cfRule type="notContainsBlanks" dxfId="7" priority="3">
      <formula>LEN(TRIM(O3))&gt;0</formula>
    </cfRule>
  </conditionalFormatting>
  <conditionalFormatting sqref="O4:Y14">
    <cfRule type="notContainsBlanks" dxfId="6" priority="2">
      <formula>LEN(TRIM(O4))&gt;0</formula>
    </cfRule>
    <cfRule type="colorScale" priority="4">
      <colorScale>
        <cfvo type="min"/>
        <cfvo type="max"/>
        <color theme="8" tint="0.79998168889431442"/>
        <color theme="8" tint="-0.249977111117893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2386-F1C7-4825-8FAC-7D142765418D}">
  <sheetPr codeName="Sheet12">
    <tabColor rgb="FF00B050"/>
  </sheetPr>
  <dimension ref="A1:AA16"/>
  <sheetViews>
    <sheetView showGridLines="0" zoomScale="80" zoomScaleNormal="80" workbookViewId="0">
      <selection activeCell="AO11" sqref="AO11"/>
    </sheetView>
  </sheetViews>
  <sheetFormatPr defaultRowHeight="14.4" x14ac:dyDescent="0.55000000000000004"/>
  <cols>
    <col min="2" max="2" width="17.47265625" style="66" customWidth="1"/>
    <col min="3" max="9" width="12.7890625" style="9" customWidth="1"/>
    <col min="10" max="13" width="12.7890625" customWidth="1"/>
    <col min="14" max="14" width="2.5234375" customWidth="1"/>
    <col min="16" max="16" width="15" customWidth="1"/>
    <col min="17" max="27" width="12.7890625" customWidth="1"/>
  </cols>
  <sheetData>
    <row r="1" spans="1:27" ht="55.5" customHeight="1" x14ac:dyDescent="0.55000000000000004">
      <c r="B1" s="167" t="s">
        <v>42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N1" s="68"/>
      <c r="P1" s="166" t="s">
        <v>43</v>
      </c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</row>
    <row r="2" spans="1:27" ht="55.5" customHeight="1" x14ac:dyDescent="0.55000000000000004"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N2" s="68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</row>
    <row r="3" spans="1:27" ht="24.75" customHeight="1" x14ac:dyDescent="0.55000000000000004">
      <c r="B3" s="69"/>
      <c r="C3" s="166" t="s">
        <v>44</v>
      </c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68"/>
      <c r="P3" s="65"/>
      <c r="Q3" s="166" t="s">
        <v>44</v>
      </c>
      <c r="R3" s="166"/>
      <c r="S3" s="166"/>
      <c r="T3" s="166"/>
      <c r="U3" s="166"/>
      <c r="V3" s="166"/>
      <c r="W3" s="166"/>
      <c r="X3" s="166"/>
      <c r="Y3" s="166"/>
      <c r="Z3" s="166"/>
      <c r="AA3" s="166"/>
    </row>
    <row r="4" spans="1:27" ht="50.25" customHeight="1" x14ac:dyDescent="0.55000000000000004">
      <c r="B4" s="63"/>
      <c r="C4" s="70" t="str" cm="1">
        <f t="array" ref="C4:K4">_xlfn.UNIQUE(tblPiNAnalysis[[#Headers],[CCCM]:[WASH]])</f>
        <v>CCCM</v>
      </c>
      <c r="D4" s="70" t="str">
        <v>Education</v>
      </c>
      <c r="E4" s="70" t="str">
        <v>Early Recovery</v>
      </c>
      <c r="F4" s="70" t="str">
        <v>Food Security</v>
      </c>
      <c r="G4" s="70" t="str">
        <v>Heath</v>
      </c>
      <c r="H4" s="70" t="str">
        <v>Nutrition</v>
      </c>
      <c r="I4" s="70" t="str">
        <v>Overarching Protection</v>
      </c>
      <c r="J4" s="67" t="str">
        <v>Shelter</v>
      </c>
      <c r="K4" s="67" t="str">
        <v>WASH</v>
      </c>
      <c r="L4" s="67"/>
      <c r="N4" s="68"/>
      <c r="P4" s="63"/>
      <c r="Q4" s="67" t="str" cm="1">
        <f t="array" ref="Q4:Y4">_xlfn.UNIQUE(tblSeverityAnalysis[[#Headers],[CCCM]:[WASH]])</f>
        <v>CCCM</v>
      </c>
      <c r="R4" s="67" t="str">
        <v>Education</v>
      </c>
      <c r="S4" s="67" t="str">
        <v>Early Recovery</v>
      </c>
      <c r="T4" s="67" t="str">
        <v>Food Security</v>
      </c>
      <c r="U4" s="67" t="str">
        <v>Health</v>
      </c>
      <c r="V4" s="67" t="str">
        <v>Nutrition</v>
      </c>
      <c r="W4" s="67" t="str">
        <v>Overarching Protection</v>
      </c>
      <c r="X4" s="67" t="str">
        <v>Shelter</v>
      </c>
      <c r="Y4" s="67" t="str">
        <v>WASH</v>
      </c>
      <c r="Z4" s="67"/>
    </row>
    <row r="5" spans="1:27" ht="37.5" customHeight="1" x14ac:dyDescent="0.55000000000000004">
      <c r="A5" s="168" t="s">
        <v>45</v>
      </c>
      <c r="B5" s="67" t="str" cm="1">
        <f t="array" ref="B5:B13">TRANSPOSE(tblPiNAnalysis[[#Headers],[CCCM]:[WASH]])</f>
        <v>CCCM</v>
      </c>
      <c r="C5" s="70" t="str">
        <f>IF(OR($B5=C$4,C$4="",$B5=""),"", COUNTIFS(#REF!, _xlfn.CONCAT("*", C$4, "*"), #REF!, _xlfn.CONCAT("*", $B5, "*")))</f>
        <v/>
      </c>
      <c r="D5" s="70" t="e">
        <f>IF(OR($B5=D$4,D$4="",$B5=""),"", COUNTIFS(#REF!, _xlfn.CONCAT("*", D$4, "*"), #REF!, _xlfn.CONCAT("*", $B5, "*")))</f>
        <v>#REF!</v>
      </c>
      <c r="E5" s="70" t="e">
        <f>IF(OR($B5=E$4,E$4="",$B5=""),"", COUNTIFS(#REF!, _xlfn.CONCAT("*", E$4, "*"), #REF!, _xlfn.CONCAT("*", $B5, "*")))</f>
        <v>#REF!</v>
      </c>
      <c r="F5" s="70" t="e">
        <f>IF(OR($B5=F$4,F$4="",$B5=""),"", COUNTIFS(#REF!, _xlfn.CONCAT("*", F$4, "*"), #REF!, _xlfn.CONCAT("*", $B5, "*")))</f>
        <v>#REF!</v>
      </c>
      <c r="G5" s="70" t="e">
        <f>IF(OR($B5=G$4,G$4="",$B5=""),"", COUNTIFS(#REF!, _xlfn.CONCAT("*", G$4, "*"), #REF!, _xlfn.CONCAT("*", $B5, "*")))</f>
        <v>#REF!</v>
      </c>
      <c r="H5" s="70" t="e">
        <f>IF(OR($B5=H$4,H$4="",$B5=""),"", COUNTIFS(#REF!, _xlfn.CONCAT("*", H$4, "*"), #REF!, _xlfn.CONCAT("*", $B5, "*")))</f>
        <v>#REF!</v>
      </c>
      <c r="I5" s="70" t="e">
        <f>IF(OR($B5=I$4,I$4="",$B5=""),"", COUNTIFS(#REF!, _xlfn.CONCAT("*", I$4, "*"), #REF!, _xlfn.CONCAT("*", $B5, "*")))</f>
        <v>#REF!</v>
      </c>
      <c r="J5" s="70" t="e">
        <f>IF(OR($B5=J$4,J$4="",$B5=""),"", COUNTIFS(#REF!, _xlfn.CONCAT("*", J$4, "*"), #REF!, _xlfn.CONCAT("*", $B5, "*")))</f>
        <v>#REF!</v>
      </c>
      <c r="K5" s="70" t="e">
        <f>IF(OR($B5=K$4,K$4="",$B5=""),"", COUNTIFS(#REF!, _xlfn.CONCAT("*", K$4, "*"), #REF!, _xlfn.CONCAT("*", $B5, "*")))</f>
        <v>#REF!</v>
      </c>
      <c r="L5" s="70" t="str">
        <f>IF(OR($B5=L$4,L$4="",$B5=""),"", COUNTIFS(#REF!, _xlfn.CONCAT("*", L$4, "*"), #REF!, _xlfn.CONCAT("*", $B5, "*")))</f>
        <v/>
      </c>
      <c r="M5" s="70" t="str">
        <f>IF(OR($B5=M$4,M$4="",$B5=""),"", COUNTIFS(#REF!, _xlfn.CONCAT("*", M$4, "*"), #REF!, _xlfn.CONCAT("*", $B5, "*")))</f>
        <v/>
      </c>
      <c r="N5" s="169"/>
      <c r="O5" s="168" t="s">
        <v>45</v>
      </c>
      <c r="P5" s="67" t="str" cm="1">
        <f t="array" ref="P5:P13">TRANSPOSE(tblSeverityAnalysis[[#Headers],[CCCM]:[WASH]])</f>
        <v>CCCM</v>
      </c>
      <c r="Q5" s="70" t="str">
        <f>IF(OR($P5=Q$4,Q$4="",$P5=""),"", COUNTIFS(#REF!, _xlfn.CONCAT("*", Q$4, "*"), #REF!, _xlfn.CONCAT("*", $P5, "*")))</f>
        <v/>
      </c>
      <c r="R5" s="70" t="e">
        <f>IF(OR($P5=R$4,R$4="",$P5=""),"", COUNTIFS(#REF!, _xlfn.CONCAT("*", R$4, "*"), #REF!, _xlfn.CONCAT("*", $P5, "*")))</f>
        <v>#REF!</v>
      </c>
      <c r="S5" s="70" t="e">
        <f>IF(OR($P5=S$4,S$4="",$P5=""),"", COUNTIFS(#REF!, _xlfn.CONCAT("*", S$4, "*"), #REF!, _xlfn.CONCAT("*", $P5, "*")))</f>
        <v>#REF!</v>
      </c>
      <c r="T5" s="70" t="e">
        <f>IF(OR($P5=T$4,T$4="",$P5=""),"", COUNTIFS(#REF!, _xlfn.CONCAT("*", T$4, "*"), #REF!, _xlfn.CONCAT("*", $P5, "*")))</f>
        <v>#REF!</v>
      </c>
      <c r="U5" s="70" t="e">
        <f>IF(OR($P5=U$4,U$4="",$P5=""),"", COUNTIFS(#REF!, _xlfn.CONCAT("*", U$4, "*"), #REF!, _xlfn.CONCAT("*", $P5, "*")))</f>
        <v>#REF!</v>
      </c>
      <c r="V5" s="70" t="e">
        <f>IF(OR($P5=V$4,V$4="",$P5=""),"", COUNTIFS(#REF!, _xlfn.CONCAT("*", V$4, "*"), #REF!, _xlfn.CONCAT("*", $P5, "*")))</f>
        <v>#REF!</v>
      </c>
      <c r="W5" s="70" t="e">
        <f>IF(OR($P5=W$4,W$4="",$P5=""),"", COUNTIFS(#REF!, _xlfn.CONCAT("*", W$4, "*"), #REF!, _xlfn.CONCAT("*", $P5, "*")))</f>
        <v>#REF!</v>
      </c>
      <c r="X5" s="70" t="e">
        <f>IF(OR($P5=X$4,X$4="",$P5=""),"", COUNTIFS(#REF!, _xlfn.CONCAT("*", X$4, "*"), #REF!, _xlfn.CONCAT("*", $P5, "*")))</f>
        <v>#REF!</v>
      </c>
      <c r="Y5" s="70" t="e">
        <f>IF(OR($P5=Y$4,Y$4="",$P5=""),"", COUNTIFS(#REF!, _xlfn.CONCAT("*", Y$4, "*"), #REF!, _xlfn.CONCAT("*", $P5, "*")))</f>
        <v>#REF!</v>
      </c>
      <c r="Z5" s="70" t="str">
        <f>IF(OR($P5=Z$4,Z$4="",$P5=""),"", COUNTIFS(#REF!, _xlfn.CONCAT("*", Z$4, "*"), #REF!, _xlfn.CONCAT("*", $P5, "*")))</f>
        <v/>
      </c>
      <c r="AA5" s="70" t="str">
        <f>IF(OR($P5=AA$4,AA$4="",$P5=""),"", COUNTIFS(#REF!, _xlfn.CONCAT("*", AA$4, "*"), #REF!, _xlfn.CONCAT("*", $P5, "*")))</f>
        <v/>
      </c>
    </row>
    <row r="6" spans="1:27" ht="37.5" customHeight="1" x14ac:dyDescent="0.55000000000000004">
      <c r="A6" s="168"/>
      <c r="B6" s="67" t="str">
        <v>Education</v>
      </c>
      <c r="C6" s="70" t="e">
        <f>IF(OR($B6=C$4,C$4="",$B6=""),"", COUNTIFS(#REF!, _xlfn.CONCAT("*", C$4, "*"), #REF!, _xlfn.CONCAT("*", $B6, "*")))</f>
        <v>#REF!</v>
      </c>
      <c r="D6" s="70" t="str">
        <f>IF(OR($B6=D$4,D$4="",$B6=""),"", COUNTIFS(#REF!, _xlfn.CONCAT("*", D$4, "*"), #REF!, _xlfn.CONCAT("*", $B6, "*")))</f>
        <v/>
      </c>
      <c r="E6" s="70" t="e">
        <f>IF(OR($B6=E$4,E$4="",$B6=""),"", COUNTIFS(#REF!, _xlfn.CONCAT("*", E$4, "*"), #REF!, _xlfn.CONCAT("*", $B6, "*")))</f>
        <v>#REF!</v>
      </c>
      <c r="F6" s="70" t="e">
        <f>IF(OR($B6=F$4,F$4="",$B6=""),"", COUNTIFS(#REF!, _xlfn.CONCAT("*", F$4, "*"), #REF!, _xlfn.CONCAT("*", $B6, "*")))</f>
        <v>#REF!</v>
      </c>
      <c r="G6" s="70" t="e">
        <f>IF(OR($B6=G$4,G$4="",$B6=""),"", COUNTIFS(#REF!, _xlfn.CONCAT("*", G$4, "*"), #REF!, _xlfn.CONCAT("*", $B6, "*")))</f>
        <v>#REF!</v>
      </c>
      <c r="H6" s="70" t="e">
        <f>IF(OR($B6=H$4,H$4="",$B6=""),"", COUNTIFS(#REF!, _xlfn.CONCAT("*", H$4, "*"), #REF!, _xlfn.CONCAT("*", $B6, "*")))</f>
        <v>#REF!</v>
      </c>
      <c r="I6" s="70" t="e">
        <f>IF(OR($B6=I$4,I$4="",$B6=""),"", COUNTIFS(#REF!, _xlfn.CONCAT("*", I$4, "*"), #REF!, _xlfn.CONCAT("*", $B6, "*")))</f>
        <v>#REF!</v>
      </c>
      <c r="J6" s="70" t="e">
        <f>IF(OR($B6=J$4,J$4="",$B6=""),"", COUNTIFS(#REF!, _xlfn.CONCAT("*", J$4, "*"), #REF!, _xlfn.CONCAT("*", $B6, "*")))</f>
        <v>#REF!</v>
      </c>
      <c r="K6" s="70" t="e">
        <f>IF(OR($B6=K$4,K$4="",$B6=""),"", COUNTIFS(#REF!, _xlfn.CONCAT("*", K$4, "*"), #REF!, _xlfn.CONCAT("*", $B6, "*")))</f>
        <v>#REF!</v>
      </c>
      <c r="L6" s="70" t="str">
        <f>IF(OR($B6=L$4,L$4="",$B6=""),"", COUNTIFS(#REF!, _xlfn.CONCAT("*", L$4, "*"), #REF!, _xlfn.CONCAT("*", $B6, "*")))</f>
        <v/>
      </c>
      <c r="M6" s="70" t="str">
        <f>IF(OR($B6=M$4,M$4="",$B6=""),"", COUNTIFS(#REF!, _xlfn.CONCAT("*", M$4, "*"), #REF!, _xlfn.CONCAT("*", $B6, "*")))</f>
        <v/>
      </c>
      <c r="N6" s="169"/>
      <c r="O6" s="168"/>
      <c r="P6" s="67" t="str">
        <v>Education</v>
      </c>
      <c r="Q6" s="70" t="e">
        <f>IF(OR($P6=Q$4,Q$4="",$P6=""),"", COUNTIFS(#REF!, _xlfn.CONCAT("*", Q$4, "*"), #REF!, _xlfn.CONCAT("*", $P6, "*")))</f>
        <v>#REF!</v>
      </c>
      <c r="R6" s="70" t="str">
        <f>IF(OR($P6=R$4,R$4="",$P6=""),"", COUNTIFS(#REF!, _xlfn.CONCAT("*", R$4, "*"), #REF!, _xlfn.CONCAT("*", $P6, "*")))</f>
        <v/>
      </c>
      <c r="S6" s="70" t="e">
        <f>IF(OR($P6=S$4,S$4="",$P6=""),"", COUNTIFS(#REF!, _xlfn.CONCAT("*", S$4, "*"), #REF!, _xlfn.CONCAT("*", $P6, "*")))</f>
        <v>#REF!</v>
      </c>
      <c r="T6" s="70" t="e">
        <f>IF(OR($P6=T$4,T$4="",$P6=""),"", COUNTIFS(#REF!, _xlfn.CONCAT("*", T$4, "*"), #REF!, _xlfn.CONCAT("*", $P6, "*")))</f>
        <v>#REF!</v>
      </c>
      <c r="U6" s="70" t="e">
        <f>IF(OR($P6=U$4,U$4="",$P6=""),"", COUNTIFS(#REF!, _xlfn.CONCAT("*", U$4, "*"), #REF!, _xlfn.CONCAT("*", $P6, "*")))</f>
        <v>#REF!</v>
      </c>
      <c r="V6" s="70" t="e">
        <f>IF(OR($P6=V$4,V$4="",$P6=""),"", COUNTIFS(#REF!, _xlfn.CONCAT("*", V$4, "*"), #REF!, _xlfn.CONCAT("*", $P6, "*")))</f>
        <v>#REF!</v>
      </c>
      <c r="W6" s="70" t="e">
        <f>IF(OR($P6=W$4,W$4="",$P6=""),"", COUNTIFS(#REF!, _xlfn.CONCAT("*", W$4, "*"), #REF!, _xlfn.CONCAT("*", $P6, "*")))</f>
        <v>#REF!</v>
      </c>
      <c r="X6" s="70" t="e">
        <f>IF(OR($P6=X$4,X$4="",$P6=""),"", COUNTIFS(#REF!, _xlfn.CONCAT("*", X$4, "*"), #REF!, _xlfn.CONCAT("*", $P6, "*")))</f>
        <v>#REF!</v>
      </c>
      <c r="Y6" s="70" t="e">
        <f>IF(OR($P6=Y$4,Y$4="",$P6=""),"", COUNTIFS(#REF!, _xlfn.CONCAT("*", Y$4, "*"), #REF!, _xlfn.CONCAT("*", $P6, "*")))</f>
        <v>#REF!</v>
      </c>
      <c r="Z6" s="70" t="str">
        <f>IF(OR($P6=Z$4,Z$4="",$P6=""),"", COUNTIFS(#REF!, _xlfn.CONCAT("*", Z$4, "*"), #REF!, _xlfn.CONCAT("*", $P6, "*")))</f>
        <v/>
      </c>
      <c r="AA6" s="70" t="str">
        <f>IF(OR($P6=AA$4,AA$4="",$P6=""),"", COUNTIFS(#REF!, _xlfn.CONCAT("*", AA$4, "*"), #REF!, _xlfn.CONCAT("*", $P6, "*")))</f>
        <v/>
      </c>
    </row>
    <row r="7" spans="1:27" ht="37.5" customHeight="1" x14ac:dyDescent="0.55000000000000004">
      <c r="A7" s="168"/>
      <c r="B7" s="67" t="str">
        <v>Early Recovery</v>
      </c>
      <c r="C7" s="70" t="e">
        <f>IF(OR($B7=C$4,C$4="",$B7=""),"", COUNTIFS(#REF!, _xlfn.CONCAT("*", C$4, "*"), #REF!, _xlfn.CONCAT("*", $B7, "*")))</f>
        <v>#REF!</v>
      </c>
      <c r="D7" s="70" t="e">
        <f>IF(OR($B7=D$4,D$4="",$B7=""),"", COUNTIFS(#REF!, _xlfn.CONCAT("*", D$4, "*"), #REF!, _xlfn.CONCAT("*", $B7, "*")))</f>
        <v>#REF!</v>
      </c>
      <c r="E7" s="70" t="str">
        <f>IF(OR($B7=E$4,E$4="",$B7=""),"", COUNTIFS(#REF!, _xlfn.CONCAT("*", E$4, "*"), #REF!, _xlfn.CONCAT("*", $B7, "*")))</f>
        <v/>
      </c>
      <c r="F7" s="70" t="e">
        <f>IF(OR($B7=F$4,F$4="",$B7=""),"", COUNTIFS(#REF!, _xlfn.CONCAT("*", F$4, "*"), #REF!, _xlfn.CONCAT("*", $B7, "*")))</f>
        <v>#REF!</v>
      </c>
      <c r="G7" s="70" t="e">
        <f>IF(OR($B7=G$4,G$4="",$B7=""),"", COUNTIFS(#REF!, _xlfn.CONCAT("*", G$4, "*"), #REF!, _xlfn.CONCAT("*", $B7, "*")))</f>
        <v>#REF!</v>
      </c>
      <c r="H7" s="70" t="e">
        <f>IF(OR($B7=H$4,H$4="",$B7=""),"", COUNTIFS(#REF!, _xlfn.CONCAT("*", H$4, "*"), #REF!, _xlfn.CONCAT("*", $B7, "*")))</f>
        <v>#REF!</v>
      </c>
      <c r="I7" s="70" t="e">
        <f>IF(OR($B7=I$4,I$4="",$B7=""),"", COUNTIFS(#REF!, _xlfn.CONCAT("*", I$4, "*"), #REF!, _xlfn.CONCAT("*", $B7, "*")))</f>
        <v>#REF!</v>
      </c>
      <c r="J7" s="70" t="e">
        <f>IF(OR($B7=J$4,J$4="",$B7=""),"", COUNTIFS(#REF!, _xlfn.CONCAT("*", J$4, "*"), #REF!, _xlfn.CONCAT("*", $B7, "*")))</f>
        <v>#REF!</v>
      </c>
      <c r="K7" s="70" t="e">
        <f>IF(OR($B7=K$4,K$4="",$B7=""),"", COUNTIFS(#REF!, _xlfn.CONCAT("*", K$4, "*"), #REF!, _xlfn.CONCAT("*", $B7, "*")))</f>
        <v>#REF!</v>
      </c>
      <c r="L7" s="70" t="str">
        <f>IF(OR($B7=L$4,L$4="",$B7=""),"", COUNTIFS(#REF!, _xlfn.CONCAT("*", L$4, "*"), #REF!, _xlfn.CONCAT("*", $B7, "*")))</f>
        <v/>
      </c>
      <c r="M7" s="70" t="str">
        <f>IF(OR($B7=M$4,M$4="",$B7=""),"", COUNTIFS(#REF!, _xlfn.CONCAT("*", M$4, "*"), #REF!, _xlfn.CONCAT("*", $B7, "*")))</f>
        <v/>
      </c>
      <c r="N7" s="169"/>
      <c r="O7" s="168"/>
      <c r="P7" s="67" t="str">
        <v>Early Recovery</v>
      </c>
      <c r="Q7" s="70" t="e">
        <f>IF(OR($P7=Q$4,Q$4="",$P7=""),"", COUNTIFS(#REF!, _xlfn.CONCAT("*", Q$4, "*"), #REF!, _xlfn.CONCAT("*", $P7, "*")))</f>
        <v>#REF!</v>
      </c>
      <c r="R7" s="70" t="e">
        <f>IF(OR($P7=R$4,R$4="",$P7=""),"", COUNTIFS(#REF!, _xlfn.CONCAT("*", R$4, "*"), #REF!, _xlfn.CONCAT("*", $P7, "*")))</f>
        <v>#REF!</v>
      </c>
      <c r="S7" s="70" t="str">
        <f>IF(OR($P7=S$4,S$4="",$P7=""),"", COUNTIFS(#REF!, _xlfn.CONCAT("*", S$4, "*"), #REF!, _xlfn.CONCAT("*", $P7, "*")))</f>
        <v/>
      </c>
      <c r="T7" s="70" t="e">
        <f>IF(OR($P7=T$4,T$4="",$P7=""),"", COUNTIFS(#REF!, _xlfn.CONCAT("*", T$4, "*"), #REF!, _xlfn.CONCAT("*", $P7, "*")))</f>
        <v>#REF!</v>
      </c>
      <c r="U7" s="70" t="e">
        <f>IF(OR($P7=U$4,U$4="",$P7=""),"", COUNTIFS(#REF!, _xlfn.CONCAT("*", U$4, "*"), #REF!, _xlfn.CONCAT("*", $P7, "*")))</f>
        <v>#REF!</v>
      </c>
      <c r="V7" s="70" t="e">
        <f>IF(OR($P7=V$4,V$4="",$P7=""),"", COUNTIFS(#REF!, _xlfn.CONCAT("*", V$4, "*"), #REF!, _xlfn.CONCAT("*", $P7, "*")))</f>
        <v>#REF!</v>
      </c>
      <c r="W7" s="70" t="e">
        <f>IF(OR($P7=W$4,W$4="",$P7=""),"", COUNTIFS(#REF!, _xlfn.CONCAT("*", W$4, "*"), #REF!, _xlfn.CONCAT("*", $P7, "*")))</f>
        <v>#REF!</v>
      </c>
      <c r="X7" s="70" t="e">
        <f>IF(OR($P7=X$4,X$4="",$P7=""),"", COUNTIFS(#REF!, _xlfn.CONCAT("*", X$4, "*"), #REF!, _xlfn.CONCAT("*", $P7, "*")))</f>
        <v>#REF!</v>
      </c>
      <c r="Y7" s="70" t="e">
        <f>IF(OR($P7=Y$4,Y$4="",$P7=""),"", COUNTIFS(#REF!, _xlfn.CONCAT("*", Y$4, "*"), #REF!, _xlfn.CONCAT("*", $P7, "*")))</f>
        <v>#REF!</v>
      </c>
      <c r="Z7" s="70" t="str">
        <f>IF(OR($P7=Z$4,Z$4="",$P7=""),"", COUNTIFS(#REF!, _xlfn.CONCAT("*", Z$4, "*"), #REF!, _xlfn.CONCAT("*", $P7, "*")))</f>
        <v/>
      </c>
      <c r="AA7" s="70" t="str">
        <f>IF(OR($P7=AA$4,AA$4="",$P7=""),"", COUNTIFS(#REF!, _xlfn.CONCAT("*", AA$4, "*"), #REF!, _xlfn.CONCAT("*", $P7, "*")))</f>
        <v/>
      </c>
    </row>
    <row r="8" spans="1:27" ht="37.5" customHeight="1" x14ac:dyDescent="0.55000000000000004">
      <c r="A8" s="168"/>
      <c r="B8" s="67" t="str">
        <v>Food Security</v>
      </c>
      <c r="C8" s="70" t="e">
        <f>IF(OR($B8=C$4,C$4="",$B8=""),"", COUNTIFS(#REF!, _xlfn.CONCAT("*", C$4, "*"), #REF!, _xlfn.CONCAT("*", $B8, "*")))</f>
        <v>#REF!</v>
      </c>
      <c r="D8" s="70" t="e">
        <f>IF(OR($B8=D$4,D$4="",$B8=""),"", COUNTIFS(#REF!, _xlfn.CONCAT("*", D$4, "*"), #REF!, _xlfn.CONCAT("*", $B8, "*")))</f>
        <v>#REF!</v>
      </c>
      <c r="E8" s="70" t="e">
        <f>IF(OR($B8=E$4,E$4="",$B8=""),"", COUNTIFS(#REF!, _xlfn.CONCAT("*", E$4, "*"), #REF!, _xlfn.CONCAT("*", $B8, "*")))</f>
        <v>#REF!</v>
      </c>
      <c r="F8" s="70" t="str">
        <f>IF(OR($B8=F$4,F$4="",$B8=""),"", COUNTIFS(#REF!, _xlfn.CONCAT("*", F$4, "*"), #REF!, _xlfn.CONCAT("*", $B8, "*")))</f>
        <v/>
      </c>
      <c r="G8" s="70" t="e">
        <f>IF(OR($B8=G$4,G$4="",$B8=""),"", COUNTIFS(#REF!, _xlfn.CONCAT("*", G$4, "*"), #REF!, _xlfn.CONCAT("*", $B8, "*")))</f>
        <v>#REF!</v>
      </c>
      <c r="H8" s="70" t="e">
        <f>IF(OR($B8=H$4,H$4="",$B8=""),"", COUNTIFS(#REF!, _xlfn.CONCAT("*", H$4, "*"), #REF!, _xlfn.CONCAT("*", $B8, "*")))</f>
        <v>#REF!</v>
      </c>
      <c r="I8" s="70" t="e">
        <f>IF(OR($B8=I$4,I$4="",$B8=""),"", COUNTIFS(#REF!, _xlfn.CONCAT("*", I$4, "*"), #REF!, _xlfn.CONCAT("*", $B8, "*")))</f>
        <v>#REF!</v>
      </c>
      <c r="J8" s="70" t="e">
        <f>IF(OR($B8=J$4,J$4="",$B8=""),"", COUNTIFS(#REF!, _xlfn.CONCAT("*", J$4, "*"), #REF!, _xlfn.CONCAT("*", $B8, "*")))</f>
        <v>#REF!</v>
      </c>
      <c r="K8" s="70" t="e">
        <f>IF(OR($B8=K$4,K$4="",$B8=""),"", COUNTIFS(#REF!, _xlfn.CONCAT("*", K$4, "*"), #REF!, _xlfn.CONCAT("*", $B8, "*")))</f>
        <v>#REF!</v>
      </c>
      <c r="L8" s="70" t="str">
        <f>IF(OR($B8=L$4,L$4="",$B8=""),"", COUNTIFS(#REF!, _xlfn.CONCAT("*", L$4, "*"), #REF!, _xlfn.CONCAT("*", $B8, "*")))</f>
        <v/>
      </c>
      <c r="M8" s="70" t="str">
        <f>IF(OR($B8=M$4,M$4="",$B8=""),"", COUNTIFS(#REF!, _xlfn.CONCAT("*", M$4, "*"), #REF!, _xlfn.CONCAT("*", $B8, "*")))</f>
        <v/>
      </c>
      <c r="N8" s="169"/>
      <c r="O8" s="168"/>
      <c r="P8" s="67" t="str">
        <v>Food Security</v>
      </c>
      <c r="Q8" s="70" t="e">
        <f>IF(OR($P8=Q$4,Q$4="",$P8=""),"", COUNTIFS(#REF!, _xlfn.CONCAT("*", Q$4, "*"), #REF!, _xlfn.CONCAT("*", $P8, "*")))</f>
        <v>#REF!</v>
      </c>
      <c r="R8" s="70" t="e">
        <f>IF(OR($P8=R$4,R$4="",$P8=""),"", COUNTIFS(#REF!, _xlfn.CONCAT("*", R$4, "*"), #REF!, _xlfn.CONCAT("*", $P8, "*")))</f>
        <v>#REF!</v>
      </c>
      <c r="S8" s="70" t="e">
        <f>IF(OR($P8=S$4,S$4="",$P8=""),"", COUNTIFS(#REF!, _xlfn.CONCAT("*", S$4, "*"), #REF!, _xlfn.CONCAT("*", $P8, "*")))</f>
        <v>#REF!</v>
      </c>
      <c r="T8" s="70" t="str">
        <f>IF(OR($P8=T$4,T$4="",$P8=""),"", COUNTIFS(#REF!, _xlfn.CONCAT("*", T$4, "*"), #REF!, _xlfn.CONCAT("*", $P8, "*")))</f>
        <v/>
      </c>
      <c r="U8" s="70" t="e">
        <f>IF(OR($P8=U$4,U$4="",$P8=""),"", COUNTIFS(#REF!, _xlfn.CONCAT("*", U$4, "*"), #REF!, _xlfn.CONCAT("*", $P8, "*")))</f>
        <v>#REF!</v>
      </c>
      <c r="V8" s="70" t="e">
        <f>IF(OR($P8=V$4,V$4="",$P8=""),"", COUNTIFS(#REF!, _xlfn.CONCAT("*", V$4, "*"), #REF!, _xlfn.CONCAT("*", $P8, "*")))</f>
        <v>#REF!</v>
      </c>
      <c r="W8" s="70" t="e">
        <f>IF(OR($P8=W$4,W$4="",$P8=""),"", COUNTIFS(#REF!, _xlfn.CONCAT("*", W$4, "*"), #REF!, _xlfn.CONCAT("*", $P8, "*")))</f>
        <v>#REF!</v>
      </c>
      <c r="X8" s="70" t="e">
        <f>IF(OR($P8=X$4,X$4="",$P8=""),"", COUNTIFS(#REF!, _xlfn.CONCAT("*", X$4, "*"), #REF!, _xlfn.CONCAT("*", $P8, "*")))</f>
        <v>#REF!</v>
      </c>
      <c r="Y8" s="70" t="e">
        <f>IF(OR($P8=Y$4,Y$4="",$P8=""),"", COUNTIFS(#REF!, _xlfn.CONCAT("*", Y$4, "*"), #REF!, _xlfn.CONCAT("*", $P8, "*")))</f>
        <v>#REF!</v>
      </c>
      <c r="Z8" s="70" t="str">
        <f>IF(OR($P8=Z$4,Z$4="",$P8=""),"", COUNTIFS(#REF!, _xlfn.CONCAT("*", Z$4, "*"), #REF!, _xlfn.CONCAT("*", $P8, "*")))</f>
        <v/>
      </c>
      <c r="AA8" s="70" t="str">
        <f>IF(OR($P8=AA$4,AA$4="",$P8=""),"", COUNTIFS(#REF!, _xlfn.CONCAT("*", AA$4, "*"), #REF!, _xlfn.CONCAT("*", $P8, "*")))</f>
        <v/>
      </c>
    </row>
    <row r="9" spans="1:27" ht="37.5" customHeight="1" x14ac:dyDescent="0.55000000000000004">
      <c r="A9" s="168"/>
      <c r="B9" s="67" t="str">
        <v>Heath</v>
      </c>
      <c r="C9" s="70" t="e">
        <f>IF(OR($B9=C$4,C$4="",$B9=""),"", COUNTIFS(#REF!, _xlfn.CONCAT("*", C$4, "*"), #REF!, _xlfn.CONCAT("*", $B9, "*")))</f>
        <v>#REF!</v>
      </c>
      <c r="D9" s="70" t="e">
        <f>IF(OR($B9=D$4,D$4="",$B9=""),"", COUNTIFS(#REF!, _xlfn.CONCAT("*", D$4, "*"), #REF!, _xlfn.CONCAT("*", $B9, "*")))</f>
        <v>#REF!</v>
      </c>
      <c r="E9" s="70" t="e">
        <f>IF(OR($B9=E$4,E$4="",$B9=""),"", COUNTIFS(#REF!, _xlfn.CONCAT("*", E$4, "*"), #REF!, _xlfn.CONCAT("*", $B9, "*")))</f>
        <v>#REF!</v>
      </c>
      <c r="F9" s="70" t="e">
        <f>IF(OR($B9=F$4,F$4="",$B9=""),"", COUNTIFS(#REF!, _xlfn.CONCAT("*", F$4, "*"), #REF!, _xlfn.CONCAT("*", $B9, "*")))</f>
        <v>#REF!</v>
      </c>
      <c r="G9" s="70" t="str">
        <f>IF(OR($B9=G$4,G$4="",$B9=""),"", COUNTIFS(#REF!, _xlfn.CONCAT("*", G$4, "*"), #REF!, _xlfn.CONCAT("*", $B9, "*")))</f>
        <v/>
      </c>
      <c r="H9" s="70" t="e">
        <f>IF(OR($B9=H$4,H$4="",$B9=""),"", COUNTIFS(#REF!, _xlfn.CONCAT("*", H$4, "*"), #REF!, _xlfn.CONCAT("*", $B9, "*")))</f>
        <v>#REF!</v>
      </c>
      <c r="I9" s="70" t="e">
        <f>IF(OR($B9=I$4,I$4="",$B9=""),"", COUNTIFS(#REF!, _xlfn.CONCAT("*", I$4, "*"), #REF!, _xlfn.CONCAT("*", $B9, "*")))</f>
        <v>#REF!</v>
      </c>
      <c r="J9" s="70" t="e">
        <f>IF(OR($B9=J$4,J$4="",$B9=""),"", COUNTIFS(#REF!, _xlfn.CONCAT("*", J$4, "*"), #REF!, _xlfn.CONCAT("*", $B9, "*")))</f>
        <v>#REF!</v>
      </c>
      <c r="K9" s="70" t="e">
        <f>IF(OR($B9=K$4,K$4="",$B9=""),"", COUNTIFS(#REF!, _xlfn.CONCAT("*", K$4, "*"), #REF!, _xlfn.CONCAT("*", $B9, "*")))</f>
        <v>#REF!</v>
      </c>
      <c r="L9" s="70" t="str">
        <f>IF(OR($B9=L$4,L$4="",$B9=""),"", COUNTIFS(#REF!, _xlfn.CONCAT("*", L$4, "*"), #REF!, _xlfn.CONCAT("*", $B9, "*")))</f>
        <v/>
      </c>
      <c r="M9" s="70" t="str">
        <f>IF(OR($B9=M$4,M$4="",$B9=""),"", COUNTIFS(#REF!, _xlfn.CONCAT("*", M$4, "*"), #REF!, _xlfn.CONCAT("*", $B9, "*")))</f>
        <v/>
      </c>
      <c r="N9" s="169"/>
      <c r="O9" s="168"/>
      <c r="P9" s="67" t="str">
        <v>Health</v>
      </c>
      <c r="Q9" s="70" t="e">
        <f>IF(OR($P9=Q$4,Q$4="",$P9=""),"", COUNTIFS(#REF!, _xlfn.CONCAT("*", Q$4, "*"), #REF!, _xlfn.CONCAT("*", $P9, "*")))</f>
        <v>#REF!</v>
      </c>
      <c r="R9" s="70" t="e">
        <f>IF(OR($P9=R$4,R$4="",$P9=""),"", COUNTIFS(#REF!, _xlfn.CONCAT("*", R$4, "*"), #REF!, _xlfn.CONCAT("*", $P9, "*")))</f>
        <v>#REF!</v>
      </c>
      <c r="S9" s="70" t="e">
        <f>IF(OR($P9=S$4,S$4="",$P9=""),"", COUNTIFS(#REF!, _xlfn.CONCAT("*", S$4, "*"), #REF!, _xlfn.CONCAT("*", $P9, "*")))</f>
        <v>#REF!</v>
      </c>
      <c r="T9" s="70" t="e">
        <f>IF(OR($P9=T$4,T$4="",$P9=""),"", COUNTIFS(#REF!, _xlfn.CONCAT("*", T$4, "*"), #REF!, _xlfn.CONCAT("*", $P9, "*")))</f>
        <v>#REF!</v>
      </c>
      <c r="U9" s="70" t="str">
        <f>IF(OR($P9=U$4,U$4="",$P9=""),"", COUNTIFS(#REF!, _xlfn.CONCAT("*", U$4, "*"), #REF!, _xlfn.CONCAT("*", $P9, "*")))</f>
        <v/>
      </c>
      <c r="V9" s="70" t="e">
        <f>IF(OR($P9=V$4,V$4="",$P9=""),"", COUNTIFS(#REF!, _xlfn.CONCAT("*", V$4, "*"), #REF!, _xlfn.CONCAT("*", $P9, "*")))</f>
        <v>#REF!</v>
      </c>
      <c r="W9" s="70" t="e">
        <f>IF(OR($P9=W$4,W$4="",$P9=""),"", COUNTIFS(#REF!, _xlfn.CONCAT("*", W$4, "*"), #REF!, _xlfn.CONCAT("*", $P9, "*")))</f>
        <v>#REF!</v>
      </c>
      <c r="X9" s="70" t="e">
        <f>IF(OR($P9=X$4,X$4="",$P9=""),"", COUNTIFS(#REF!, _xlfn.CONCAT("*", X$4, "*"), #REF!, _xlfn.CONCAT("*", $P9, "*")))</f>
        <v>#REF!</v>
      </c>
      <c r="Y9" s="70" t="e">
        <f>IF(OR($P9=Y$4,Y$4="",$P9=""),"", COUNTIFS(#REF!, _xlfn.CONCAT("*", Y$4, "*"), #REF!, _xlfn.CONCAT("*", $P9, "*")))</f>
        <v>#REF!</v>
      </c>
      <c r="Z9" s="70" t="str">
        <f>IF(OR($P9=Z$4,Z$4="",$P9=""),"", COUNTIFS(#REF!, _xlfn.CONCAT("*", Z$4, "*"), #REF!, _xlfn.CONCAT("*", $P9, "*")))</f>
        <v/>
      </c>
      <c r="AA9" s="70" t="str">
        <f>IF(OR($P9=AA$4,AA$4="",$P9=""),"", COUNTIFS(#REF!, _xlfn.CONCAT("*", AA$4, "*"), #REF!, _xlfn.CONCAT("*", $P9, "*")))</f>
        <v/>
      </c>
    </row>
    <row r="10" spans="1:27" ht="37.5" customHeight="1" x14ac:dyDescent="0.55000000000000004">
      <c r="A10" s="168"/>
      <c r="B10" s="67" t="str">
        <v>Nutrition</v>
      </c>
      <c r="C10" s="70" t="e">
        <f>IF(OR($B10=C$4,C$4="",$B10=""),"", COUNTIFS(#REF!, _xlfn.CONCAT("*", C$4, "*"), #REF!, _xlfn.CONCAT("*", $B10, "*")))</f>
        <v>#REF!</v>
      </c>
      <c r="D10" s="70" t="e">
        <f>IF(OR($B10=D$4,D$4="",$B10=""),"", COUNTIFS(#REF!, _xlfn.CONCAT("*", D$4, "*"), #REF!, _xlfn.CONCAT("*", $B10, "*")))</f>
        <v>#REF!</v>
      </c>
      <c r="E10" s="70" t="e">
        <f>IF(OR($B10=E$4,E$4="",$B10=""),"", COUNTIFS(#REF!, _xlfn.CONCAT("*", E$4, "*"), #REF!, _xlfn.CONCAT("*", $B10, "*")))</f>
        <v>#REF!</v>
      </c>
      <c r="F10" s="70" t="e">
        <f>IF(OR($B10=F$4,F$4="",$B10=""),"", COUNTIFS(#REF!, _xlfn.CONCAT("*", F$4, "*"), #REF!, _xlfn.CONCAT("*", $B10, "*")))</f>
        <v>#REF!</v>
      </c>
      <c r="G10" s="70" t="e">
        <f>IF(OR($B10=G$4,G$4="",$B10=""),"", COUNTIFS(#REF!, _xlfn.CONCAT("*", G$4, "*"), #REF!, _xlfn.CONCAT("*", $B10, "*")))</f>
        <v>#REF!</v>
      </c>
      <c r="H10" s="70" t="str">
        <f>IF(OR($B10=H$4,H$4="",$B10=""),"", COUNTIFS(#REF!, _xlfn.CONCAT("*", H$4, "*"), #REF!, _xlfn.CONCAT("*", $B10, "*")))</f>
        <v/>
      </c>
      <c r="I10" s="70" t="e">
        <f>IF(OR($B10=I$4,I$4="",$B10=""),"", COUNTIFS(#REF!, _xlfn.CONCAT("*", I$4, "*"), #REF!, _xlfn.CONCAT("*", $B10, "*")))</f>
        <v>#REF!</v>
      </c>
      <c r="J10" s="70" t="e">
        <f>IF(OR($B10=J$4,J$4="",$B10=""),"", COUNTIFS(#REF!, _xlfn.CONCAT("*", J$4, "*"), #REF!, _xlfn.CONCAT("*", $B10, "*")))</f>
        <v>#REF!</v>
      </c>
      <c r="K10" s="70" t="e">
        <f>IF(OR($B10=K$4,K$4="",$B10=""),"", COUNTIFS(#REF!, _xlfn.CONCAT("*", K$4, "*"), #REF!, _xlfn.CONCAT("*", $B10, "*")))</f>
        <v>#REF!</v>
      </c>
      <c r="L10" s="70" t="str">
        <f>IF(OR($B10=L$4,L$4="",$B10=""),"", COUNTIFS(#REF!, _xlfn.CONCAT("*", L$4, "*"), #REF!, _xlfn.CONCAT("*", $B10, "*")))</f>
        <v/>
      </c>
      <c r="M10" s="70" t="str">
        <f>IF(OR($B10=M$4,M$4="",$B10=""),"", COUNTIFS(#REF!, _xlfn.CONCAT("*", M$4, "*"), #REF!, _xlfn.CONCAT("*", $B10, "*")))</f>
        <v/>
      </c>
      <c r="N10" s="169"/>
      <c r="O10" s="168"/>
      <c r="P10" s="67" t="str">
        <v>Nutrition</v>
      </c>
      <c r="Q10" s="70" t="e">
        <f>IF(OR($P10=Q$4,Q$4="",$P10=""),"", COUNTIFS(#REF!, _xlfn.CONCAT("*", Q$4, "*"), #REF!, _xlfn.CONCAT("*", $P10, "*")))</f>
        <v>#REF!</v>
      </c>
      <c r="R10" s="70" t="e">
        <f>IF(OR($P10=R$4,R$4="",$P10=""),"", COUNTIFS(#REF!, _xlfn.CONCAT("*", R$4, "*"), #REF!, _xlfn.CONCAT("*", $P10, "*")))</f>
        <v>#REF!</v>
      </c>
      <c r="S10" s="70" t="e">
        <f>IF(OR($P10=S$4,S$4="",$P10=""),"", COUNTIFS(#REF!, _xlfn.CONCAT("*", S$4, "*"), #REF!, _xlfn.CONCAT("*", $P10, "*")))</f>
        <v>#REF!</v>
      </c>
      <c r="T10" s="70" t="e">
        <f>IF(OR($P10=T$4,T$4="",$P10=""),"", COUNTIFS(#REF!, _xlfn.CONCAT("*", T$4, "*"), #REF!, _xlfn.CONCAT("*", $P10, "*")))</f>
        <v>#REF!</v>
      </c>
      <c r="U10" s="70" t="e">
        <f>IF(OR($P10=U$4,U$4="",$P10=""),"", COUNTIFS(#REF!, _xlfn.CONCAT("*", U$4, "*"), #REF!, _xlfn.CONCAT("*", $P10, "*")))</f>
        <v>#REF!</v>
      </c>
      <c r="V10" s="70" t="str">
        <f>IF(OR($P10=V$4,V$4="",$P10=""),"", COUNTIFS(#REF!, _xlfn.CONCAT("*", V$4, "*"), #REF!, _xlfn.CONCAT("*", $P10, "*")))</f>
        <v/>
      </c>
      <c r="W10" s="70" t="e">
        <f>IF(OR($P10=W$4,W$4="",$P10=""),"", COUNTIFS(#REF!, _xlfn.CONCAT("*", W$4, "*"), #REF!, _xlfn.CONCAT("*", $P10, "*")))</f>
        <v>#REF!</v>
      </c>
      <c r="X10" s="70" t="e">
        <f>IF(OR($P10=X$4,X$4="",$P10=""),"", COUNTIFS(#REF!, _xlfn.CONCAT("*", X$4, "*"), #REF!, _xlfn.CONCAT("*", $P10, "*")))</f>
        <v>#REF!</v>
      </c>
      <c r="Y10" s="70" t="e">
        <f>IF(OR($P10=Y$4,Y$4="",$P10=""),"", COUNTIFS(#REF!, _xlfn.CONCAT("*", Y$4, "*"), #REF!, _xlfn.CONCAT("*", $P10, "*")))</f>
        <v>#REF!</v>
      </c>
      <c r="Z10" s="70" t="str">
        <f>IF(OR($P10=Z$4,Z$4="",$P10=""),"", COUNTIFS(#REF!, _xlfn.CONCAT("*", Z$4, "*"), #REF!, _xlfn.CONCAT("*", $P10, "*")))</f>
        <v/>
      </c>
      <c r="AA10" s="70" t="str">
        <f>IF(OR($P10=AA$4,AA$4="",$P10=""),"", COUNTIFS(#REF!, _xlfn.CONCAT("*", AA$4, "*"), #REF!, _xlfn.CONCAT("*", $P10, "*")))</f>
        <v/>
      </c>
    </row>
    <row r="11" spans="1:27" ht="37.5" customHeight="1" x14ac:dyDescent="0.55000000000000004">
      <c r="A11" s="168"/>
      <c r="B11" s="67" t="str">
        <v>Overarching Protection</v>
      </c>
      <c r="C11" s="70" t="e">
        <f>IF(OR($B11=C$4,C$4="",$B11=""),"", COUNTIFS(#REF!, _xlfn.CONCAT("*", C$4, "*"), #REF!, _xlfn.CONCAT("*", $B11, "*")))</f>
        <v>#REF!</v>
      </c>
      <c r="D11" s="70" t="e">
        <f>IF(OR($B11=D$4,D$4="",$B11=""),"", COUNTIFS(#REF!, _xlfn.CONCAT("*", D$4, "*"), #REF!, _xlfn.CONCAT("*", $B11, "*")))</f>
        <v>#REF!</v>
      </c>
      <c r="E11" s="70" t="e">
        <f>IF(OR($B11=E$4,E$4="",$B11=""),"", COUNTIFS(#REF!, _xlfn.CONCAT("*", E$4, "*"), #REF!, _xlfn.CONCAT("*", $B11, "*")))</f>
        <v>#REF!</v>
      </c>
      <c r="F11" s="70" t="e">
        <f>IF(OR($B11=F$4,F$4="",$B11=""),"", COUNTIFS(#REF!, _xlfn.CONCAT("*", F$4, "*"), #REF!, _xlfn.CONCAT("*", $B11, "*")))</f>
        <v>#REF!</v>
      </c>
      <c r="G11" s="70" t="e">
        <f>IF(OR($B11=G$4,G$4="",$B11=""),"", COUNTIFS(#REF!, _xlfn.CONCAT("*", G$4, "*"), #REF!, _xlfn.CONCAT("*", $B11, "*")))</f>
        <v>#REF!</v>
      </c>
      <c r="H11" s="70" t="e">
        <f>IF(OR($B11=H$4,H$4="",$B11=""),"", COUNTIFS(#REF!, _xlfn.CONCAT("*", H$4, "*"), #REF!, _xlfn.CONCAT("*", $B11, "*")))</f>
        <v>#REF!</v>
      </c>
      <c r="I11" s="70" t="str">
        <f>IF(OR($B11=I$4,I$4="",$B11=""),"", COUNTIFS(#REF!, _xlfn.CONCAT("*", I$4, "*"), #REF!, _xlfn.CONCAT("*", $B11, "*")))</f>
        <v/>
      </c>
      <c r="J11" s="70" t="e">
        <f>IF(OR($B11=J$4,J$4="",$B11=""),"", COUNTIFS(#REF!, _xlfn.CONCAT("*", J$4, "*"), #REF!, _xlfn.CONCAT("*", $B11, "*")))</f>
        <v>#REF!</v>
      </c>
      <c r="K11" s="70" t="e">
        <f>IF(OR($B11=K$4,K$4="",$B11=""),"", COUNTIFS(#REF!, _xlfn.CONCAT("*", K$4, "*"), #REF!, _xlfn.CONCAT("*", $B11, "*")))</f>
        <v>#REF!</v>
      </c>
      <c r="L11" s="70" t="str">
        <f>IF(OR($B11=L$4,L$4="",$B11=""),"", COUNTIFS(#REF!, _xlfn.CONCAT("*", L$4, "*"), #REF!, _xlfn.CONCAT("*", $B11, "*")))</f>
        <v/>
      </c>
      <c r="M11" s="70" t="str">
        <f>IF(OR($B11=M$4,M$4="",$B11=""),"", COUNTIFS(#REF!, _xlfn.CONCAT("*", M$4, "*"), #REF!, _xlfn.CONCAT("*", $B11, "*")))</f>
        <v/>
      </c>
      <c r="N11" s="169"/>
      <c r="O11" s="168"/>
      <c r="P11" s="67" t="str">
        <v>Overarching Protection</v>
      </c>
      <c r="Q11" s="70" t="e">
        <f>IF(OR($P11=Q$4,Q$4="",$P11=""),"", COUNTIFS(#REF!, _xlfn.CONCAT("*", Q$4, "*"), #REF!, _xlfn.CONCAT("*", $P11, "*")))</f>
        <v>#REF!</v>
      </c>
      <c r="R11" s="70" t="e">
        <f>IF(OR($P11=R$4,R$4="",$P11=""),"", COUNTIFS(#REF!, _xlfn.CONCAT("*", R$4, "*"), #REF!, _xlfn.CONCAT("*", $P11, "*")))</f>
        <v>#REF!</v>
      </c>
      <c r="S11" s="70" t="e">
        <f>IF(OR($P11=S$4,S$4="",$P11=""),"", COUNTIFS(#REF!, _xlfn.CONCAT("*", S$4, "*"), #REF!, _xlfn.CONCAT("*", $P11, "*")))</f>
        <v>#REF!</v>
      </c>
      <c r="T11" s="70" t="e">
        <f>IF(OR($P11=T$4,T$4="",$P11=""),"", COUNTIFS(#REF!, _xlfn.CONCAT("*", T$4, "*"), #REF!, _xlfn.CONCAT("*", $P11, "*")))</f>
        <v>#REF!</v>
      </c>
      <c r="U11" s="70" t="e">
        <f>IF(OR($P11=U$4,U$4="",$P11=""),"", COUNTIFS(#REF!, _xlfn.CONCAT("*", U$4, "*"), #REF!, _xlfn.CONCAT("*", $P11, "*")))</f>
        <v>#REF!</v>
      </c>
      <c r="V11" s="70" t="e">
        <f>IF(OR($P11=V$4,V$4="",$P11=""),"", COUNTIFS(#REF!, _xlfn.CONCAT("*", V$4, "*"), #REF!, _xlfn.CONCAT("*", $P11, "*")))</f>
        <v>#REF!</v>
      </c>
      <c r="W11" s="70" t="str">
        <f>IF(OR($P11=W$4,W$4="",$P11=""),"", COUNTIFS(#REF!, _xlfn.CONCAT("*", W$4, "*"), #REF!, _xlfn.CONCAT("*", $P11, "*")))</f>
        <v/>
      </c>
      <c r="X11" s="70" t="e">
        <f>IF(OR($P11=X$4,X$4="",$P11=""),"", COUNTIFS(#REF!, _xlfn.CONCAT("*", X$4, "*"), #REF!, _xlfn.CONCAT("*", $P11, "*")))</f>
        <v>#REF!</v>
      </c>
      <c r="Y11" s="70" t="e">
        <f>IF(OR($P11=Y$4,Y$4="",$P11=""),"", COUNTIFS(#REF!, _xlfn.CONCAT("*", Y$4, "*"), #REF!, _xlfn.CONCAT("*", $P11, "*")))</f>
        <v>#REF!</v>
      </c>
      <c r="Z11" s="70" t="str">
        <f>IF(OR($P11=Z$4,Z$4="",$P11=""),"", COUNTIFS(#REF!, _xlfn.CONCAT("*", Z$4, "*"), #REF!, _xlfn.CONCAT("*", $P11, "*")))</f>
        <v/>
      </c>
      <c r="AA11" s="70" t="str">
        <f>IF(OR($P11=AA$4,AA$4="",$P11=""),"", COUNTIFS(#REF!, _xlfn.CONCAT("*", AA$4, "*"), #REF!, _xlfn.CONCAT("*", $P11, "*")))</f>
        <v/>
      </c>
    </row>
    <row r="12" spans="1:27" ht="37.5" customHeight="1" x14ac:dyDescent="0.55000000000000004">
      <c r="A12" s="168"/>
      <c r="B12" s="67" t="str">
        <v>Shelter</v>
      </c>
      <c r="C12" s="70" t="e">
        <f>IF(OR($B12=C$4,C$4="",$B12=""),"", COUNTIFS(#REF!, _xlfn.CONCAT("*", C$4, "*"), #REF!, _xlfn.CONCAT("*", $B12, "*")))</f>
        <v>#REF!</v>
      </c>
      <c r="D12" s="70" t="e">
        <f>IF(OR($B12=D$4,D$4="",$B12=""),"", COUNTIFS(#REF!, _xlfn.CONCAT("*", D$4, "*"), #REF!, _xlfn.CONCAT("*", $B12, "*")))</f>
        <v>#REF!</v>
      </c>
      <c r="E12" s="70" t="e">
        <f>IF(OR($B12=E$4,E$4="",$B12=""),"", COUNTIFS(#REF!, _xlfn.CONCAT("*", E$4, "*"), #REF!, _xlfn.CONCAT("*", $B12, "*")))</f>
        <v>#REF!</v>
      </c>
      <c r="F12" s="70" t="e">
        <f>IF(OR($B12=F$4,F$4="",$B12=""),"", COUNTIFS(#REF!, _xlfn.CONCAT("*", F$4, "*"), #REF!, _xlfn.CONCAT("*", $B12, "*")))</f>
        <v>#REF!</v>
      </c>
      <c r="G12" s="70" t="e">
        <f>IF(OR($B12=G$4,G$4="",$B12=""),"", COUNTIFS(#REF!, _xlfn.CONCAT("*", G$4, "*"), #REF!, _xlfn.CONCAT("*", $B12, "*")))</f>
        <v>#REF!</v>
      </c>
      <c r="H12" s="70" t="e">
        <f>IF(OR($B12=H$4,H$4="",$B12=""),"", COUNTIFS(#REF!, _xlfn.CONCAT("*", H$4, "*"), #REF!, _xlfn.CONCAT("*", $B12, "*")))</f>
        <v>#REF!</v>
      </c>
      <c r="I12" s="70" t="e">
        <f>IF(OR($B12=I$4,I$4="",$B12=""),"", COUNTIFS(#REF!, _xlfn.CONCAT("*", I$4, "*"), #REF!, _xlfn.CONCAT("*", $B12, "*")))</f>
        <v>#REF!</v>
      </c>
      <c r="J12" s="70" t="str">
        <f>IF(OR($B12=J$4,J$4="",$B12=""),"", COUNTIFS(#REF!, _xlfn.CONCAT("*", J$4, "*"), #REF!, _xlfn.CONCAT("*", $B12, "*")))</f>
        <v/>
      </c>
      <c r="K12" s="70" t="e">
        <f>IF(OR($B12=K$4,K$4="",$B12=""),"", COUNTIFS(#REF!, _xlfn.CONCAT("*", K$4, "*"), #REF!, _xlfn.CONCAT("*", $B12, "*")))</f>
        <v>#REF!</v>
      </c>
      <c r="L12" s="70" t="str">
        <f>IF(OR($B12=L$4,L$4="",$B12=""),"", COUNTIFS(#REF!, _xlfn.CONCAT("*", L$4, "*"), #REF!, _xlfn.CONCAT("*", $B12, "*")))</f>
        <v/>
      </c>
      <c r="M12" s="70" t="str">
        <f>IF(OR($B12=M$4,M$4="",$B12=""),"", COUNTIFS(#REF!, _xlfn.CONCAT("*", M$4, "*"), #REF!, _xlfn.CONCAT("*", $B12, "*")))</f>
        <v/>
      </c>
      <c r="N12" s="169"/>
      <c r="O12" s="168"/>
      <c r="P12" s="67" t="str">
        <v>Shelter</v>
      </c>
      <c r="Q12" s="70" t="e">
        <f>IF(OR($P12=Q$4,Q$4="",$P12=""),"", COUNTIFS(#REF!, _xlfn.CONCAT("*", Q$4, "*"), #REF!, _xlfn.CONCAT("*", $P12, "*")))</f>
        <v>#REF!</v>
      </c>
      <c r="R12" s="70" t="e">
        <f>IF(OR($P12=R$4,R$4="",$P12=""),"", COUNTIFS(#REF!, _xlfn.CONCAT("*", R$4, "*"), #REF!, _xlfn.CONCAT("*", $P12, "*")))</f>
        <v>#REF!</v>
      </c>
      <c r="S12" s="70" t="e">
        <f>IF(OR($P12=S$4,S$4="",$P12=""),"", COUNTIFS(#REF!, _xlfn.CONCAT("*", S$4, "*"), #REF!, _xlfn.CONCAT("*", $P12, "*")))</f>
        <v>#REF!</v>
      </c>
      <c r="T12" s="70" t="e">
        <f>IF(OR($P12=T$4,T$4="",$P12=""),"", COUNTIFS(#REF!, _xlfn.CONCAT("*", T$4, "*"), #REF!, _xlfn.CONCAT("*", $P12, "*")))</f>
        <v>#REF!</v>
      </c>
      <c r="U12" s="70" t="e">
        <f>IF(OR($P12=U$4,U$4="",$P12=""),"", COUNTIFS(#REF!, _xlfn.CONCAT("*", U$4, "*"), #REF!, _xlfn.CONCAT("*", $P12, "*")))</f>
        <v>#REF!</v>
      </c>
      <c r="V12" s="70" t="e">
        <f>IF(OR($P12=V$4,V$4="",$P12=""),"", COUNTIFS(#REF!, _xlfn.CONCAT("*", V$4, "*"), #REF!, _xlfn.CONCAT("*", $P12, "*")))</f>
        <v>#REF!</v>
      </c>
      <c r="W12" s="70" t="e">
        <f>IF(OR($P12=W$4,W$4="",$P12=""),"", COUNTIFS(#REF!, _xlfn.CONCAT("*", W$4, "*"), #REF!, _xlfn.CONCAT("*", $P12, "*")))</f>
        <v>#REF!</v>
      </c>
      <c r="X12" s="70" t="str">
        <f>IF(OR($P12=X$4,X$4="",$P12=""),"", COUNTIFS(#REF!, _xlfn.CONCAT("*", X$4, "*"), #REF!, _xlfn.CONCAT("*", $P12, "*")))</f>
        <v/>
      </c>
      <c r="Y12" s="70" t="e">
        <f>IF(OR($P12=Y$4,Y$4="",$P12=""),"", COUNTIFS(#REF!, _xlfn.CONCAT("*", Y$4, "*"), #REF!, _xlfn.CONCAT("*", $P12, "*")))</f>
        <v>#REF!</v>
      </c>
      <c r="Z12" s="70" t="str">
        <f>IF(OR($P12=Z$4,Z$4="",$P12=""),"", COUNTIFS(#REF!, _xlfn.CONCAT("*", Z$4, "*"), #REF!, _xlfn.CONCAT("*", $P12, "*")))</f>
        <v/>
      </c>
      <c r="AA12" s="70" t="str">
        <f>IF(OR($P12=AA$4,AA$4="",$P12=""),"", COUNTIFS(#REF!, _xlfn.CONCAT("*", AA$4, "*"), #REF!, _xlfn.CONCAT("*", $P12, "*")))</f>
        <v/>
      </c>
    </row>
    <row r="13" spans="1:27" ht="37.5" customHeight="1" x14ac:dyDescent="0.55000000000000004">
      <c r="A13" s="168"/>
      <c r="B13" s="67" t="str">
        <v>WASH</v>
      </c>
      <c r="C13" s="70" t="e">
        <f>IF(OR($B13=C$4,C$4="",$B13=""),"", COUNTIFS(#REF!, _xlfn.CONCAT("*", C$4, "*"), #REF!, _xlfn.CONCAT("*", $B13, "*")))</f>
        <v>#REF!</v>
      </c>
      <c r="D13" s="70" t="e">
        <f>IF(OR($B13=D$4,D$4="",$B13=""),"", COUNTIFS(#REF!, _xlfn.CONCAT("*", D$4, "*"), #REF!, _xlfn.CONCAT("*", $B13, "*")))</f>
        <v>#REF!</v>
      </c>
      <c r="E13" s="70" t="e">
        <f>IF(OR($B13=E$4,E$4="",$B13=""),"", COUNTIFS(#REF!, _xlfn.CONCAT("*", E$4, "*"), #REF!, _xlfn.CONCAT("*", $B13, "*")))</f>
        <v>#REF!</v>
      </c>
      <c r="F13" s="70" t="e">
        <f>IF(OR($B13=F$4,F$4="",$B13=""),"", COUNTIFS(#REF!, _xlfn.CONCAT("*", F$4, "*"), #REF!, _xlfn.CONCAT("*", $B13, "*")))</f>
        <v>#REF!</v>
      </c>
      <c r="G13" s="70" t="e">
        <f>IF(OR($B13=G$4,G$4="",$B13=""),"", COUNTIFS(#REF!, _xlfn.CONCAT("*", G$4, "*"), #REF!, _xlfn.CONCAT("*", $B13, "*")))</f>
        <v>#REF!</v>
      </c>
      <c r="H13" s="70" t="e">
        <f>IF(OR($B13=H$4,H$4="",$B13=""),"", COUNTIFS(#REF!, _xlfn.CONCAT("*", H$4, "*"), #REF!, _xlfn.CONCAT("*", $B13, "*")))</f>
        <v>#REF!</v>
      </c>
      <c r="I13" s="70" t="e">
        <f>IF(OR($B13=I$4,I$4="",$B13=""),"", COUNTIFS(#REF!, _xlfn.CONCAT("*", I$4, "*"), #REF!, _xlfn.CONCAT("*", $B13, "*")))</f>
        <v>#REF!</v>
      </c>
      <c r="J13" s="70" t="e">
        <f>IF(OR($B13=J$4,J$4="",$B13=""),"", COUNTIFS(#REF!, _xlfn.CONCAT("*", J$4, "*"), #REF!, _xlfn.CONCAT("*", $B13, "*")))</f>
        <v>#REF!</v>
      </c>
      <c r="K13" s="70" t="str">
        <f>IF(OR($B13=K$4,K$4="",$B13=""),"", COUNTIFS(#REF!, _xlfn.CONCAT("*", K$4, "*"), #REF!, _xlfn.CONCAT("*", $B13, "*")))</f>
        <v/>
      </c>
      <c r="L13" s="70" t="str">
        <f>IF(OR($B13=L$4,L$4="",$B13=""),"", COUNTIFS(#REF!, _xlfn.CONCAT("*", L$4, "*"), #REF!, _xlfn.CONCAT("*", $B13, "*")))</f>
        <v/>
      </c>
      <c r="M13" s="70" t="str">
        <f>IF(OR($B13=M$4,M$4="",$B13=""),"", COUNTIFS(#REF!, _xlfn.CONCAT("*", M$4, "*"), #REF!, _xlfn.CONCAT("*", $B13, "*")))</f>
        <v/>
      </c>
      <c r="N13" s="169"/>
      <c r="O13" s="168"/>
      <c r="P13" s="67" t="str">
        <v>WASH</v>
      </c>
      <c r="Q13" s="70" t="e">
        <f>IF(OR($P13=Q$4,Q$4="",$P13=""),"", COUNTIFS(#REF!, _xlfn.CONCAT("*", Q$4, "*"), #REF!, _xlfn.CONCAT("*", $P13, "*")))</f>
        <v>#REF!</v>
      </c>
      <c r="R13" s="70" t="e">
        <f>IF(OR($P13=R$4,R$4="",$P13=""),"", COUNTIFS(#REF!, _xlfn.CONCAT("*", R$4, "*"), #REF!, _xlfn.CONCAT("*", $P13, "*")))</f>
        <v>#REF!</v>
      </c>
      <c r="S13" s="70" t="e">
        <f>IF(OR($P13=S$4,S$4="",$P13=""),"", COUNTIFS(#REF!, _xlfn.CONCAT("*", S$4, "*"), #REF!, _xlfn.CONCAT("*", $P13, "*")))</f>
        <v>#REF!</v>
      </c>
      <c r="T13" s="70" t="e">
        <f>IF(OR($P13=T$4,T$4="",$P13=""),"", COUNTIFS(#REF!, _xlfn.CONCAT("*", T$4, "*"), #REF!, _xlfn.CONCAT("*", $P13, "*")))</f>
        <v>#REF!</v>
      </c>
      <c r="U13" s="70" t="e">
        <f>IF(OR($P13=U$4,U$4="",$P13=""),"", COUNTIFS(#REF!, _xlfn.CONCAT("*", U$4, "*"), #REF!, _xlfn.CONCAT("*", $P13, "*")))</f>
        <v>#REF!</v>
      </c>
      <c r="V13" s="70" t="e">
        <f>IF(OR($P13=V$4,V$4="",$P13=""),"", COUNTIFS(#REF!, _xlfn.CONCAT("*", V$4, "*"), #REF!, _xlfn.CONCAT("*", $P13, "*")))</f>
        <v>#REF!</v>
      </c>
      <c r="W13" s="70" t="e">
        <f>IF(OR($P13=W$4,W$4="",$P13=""),"", COUNTIFS(#REF!, _xlfn.CONCAT("*", W$4, "*"), #REF!, _xlfn.CONCAT("*", $P13, "*")))</f>
        <v>#REF!</v>
      </c>
      <c r="X13" s="70" t="e">
        <f>IF(OR($P13=X$4,X$4="",$P13=""),"", COUNTIFS(#REF!, _xlfn.CONCAT("*", X$4, "*"), #REF!, _xlfn.CONCAT("*", $P13, "*")))</f>
        <v>#REF!</v>
      </c>
      <c r="Y13" s="70" t="str">
        <f>IF(OR($P13=Y$4,Y$4="",$P13=""),"", COUNTIFS(#REF!, _xlfn.CONCAT("*", Y$4, "*"), #REF!, _xlfn.CONCAT("*", $P13, "*")))</f>
        <v/>
      </c>
      <c r="Z13" s="70" t="str">
        <f>IF(OR($P13=Z$4,Z$4="",$P13=""),"", COUNTIFS(#REF!, _xlfn.CONCAT("*", Z$4, "*"), #REF!, _xlfn.CONCAT("*", $P13, "*")))</f>
        <v/>
      </c>
      <c r="AA13" s="70" t="str">
        <f>IF(OR($P13=AA$4,AA$4="",$P13=""),"", COUNTIFS(#REF!, _xlfn.CONCAT("*", AA$4, "*"), #REF!, _xlfn.CONCAT("*", $P13, "*")))</f>
        <v/>
      </c>
    </row>
    <row r="14" spans="1:27" ht="37.5" customHeight="1" x14ac:dyDescent="0.55000000000000004">
      <c r="A14" s="168"/>
      <c r="B14" s="67"/>
      <c r="C14" s="70" t="str">
        <f>IF(OR($B14=C$4,C$4="",$B14=""),"", COUNTIFS(#REF!, _xlfn.CONCAT("*", C$4, "*"), #REF!, _xlfn.CONCAT("*", $B14, "*")))</f>
        <v/>
      </c>
      <c r="D14" s="70" t="str">
        <f>IF(OR($B14=D$4,D$4="",$B14=""),"", COUNTIFS(#REF!, _xlfn.CONCAT("*", D$4, "*"), #REF!, _xlfn.CONCAT("*", $B14, "*")))</f>
        <v/>
      </c>
      <c r="E14" s="70" t="str">
        <f>IF(OR($B14=E$4,E$4="",$B14=""),"", COUNTIFS(#REF!, _xlfn.CONCAT("*", E$4, "*"), #REF!, _xlfn.CONCAT("*", $B14, "*")))</f>
        <v/>
      </c>
      <c r="F14" s="70" t="str">
        <f>IF(OR($B14=F$4,F$4="",$B14=""),"", COUNTIFS(#REF!, _xlfn.CONCAT("*", F$4, "*"), #REF!, _xlfn.CONCAT("*", $B14, "*")))</f>
        <v/>
      </c>
      <c r="G14" s="70" t="str">
        <f>IF(OR($B14=G$4,G$4="",$B14=""),"", COUNTIFS(#REF!, _xlfn.CONCAT("*", G$4, "*"), #REF!, _xlfn.CONCAT("*", $B14, "*")))</f>
        <v/>
      </c>
      <c r="H14" s="70" t="str">
        <f>IF(OR($B14=H$4,H$4="",$B14=""),"", COUNTIFS(#REF!, _xlfn.CONCAT("*", H$4, "*"), #REF!, _xlfn.CONCAT("*", $B14, "*")))</f>
        <v/>
      </c>
      <c r="I14" s="70" t="str">
        <f>IF(OR($B14=I$4,I$4="",$B14=""),"", COUNTIFS(#REF!, _xlfn.CONCAT("*", I$4, "*"), #REF!, _xlfn.CONCAT("*", $B14, "*")))</f>
        <v/>
      </c>
      <c r="J14" s="70" t="str">
        <f>IF(OR($B14=J$4,J$4="",$B14=""),"", COUNTIFS(#REF!, _xlfn.CONCAT("*", J$4, "*"), #REF!, _xlfn.CONCAT("*", $B14, "*")))</f>
        <v/>
      </c>
      <c r="K14" s="70" t="str">
        <f>IF(OR($B14=K$4,K$4="",$B14=""),"", COUNTIFS(#REF!, _xlfn.CONCAT("*", K$4, "*"), #REF!, _xlfn.CONCAT("*", $B14, "*")))</f>
        <v/>
      </c>
      <c r="L14" s="70" t="str">
        <f>IF(OR($B14=L$4,L$4="",$B14=""),"", COUNTIFS(#REF!, _xlfn.CONCAT("*", L$4, "*"), #REF!, _xlfn.CONCAT("*", $B14, "*")))</f>
        <v/>
      </c>
      <c r="M14" s="70" t="str">
        <f>IF(OR($B14=M$4,M$4="",$B14=""),"", COUNTIFS(#REF!, _xlfn.CONCAT("*", M$4, "*"), #REF!, _xlfn.CONCAT("*", $B14, "*")))</f>
        <v/>
      </c>
      <c r="N14" s="169"/>
      <c r="O14" s="168"/>
      <c r="P14" s="67"/>
      <c r="Q14" s="70" t="str">
        <f>IF(OR($P14=Q$4,Q$4="",$P14=""),"", COUNTIFS(#REF!, _xlfn.CONCAT("*", Q$4, "*"), #REF!, _xlfn.CONCAT("*", $P14, "*")))</f>
        <v/>
      </c>
      <c r="R14" s="70" t="str">
        <f>IF(OR($P14=R$4,R$4="",$P14=""),"", COUNTIFS(#REF!, _xlfn.CONCAT("*", R$4, "*"), #REF!, _xlfn.CONCAT("*", $P14, "*")))</f>
        <v/>
      </c>
      <c r="S14" s="70" t="str">
        <f>IF(OR($P14=S$4,S$4="",$P14=""),"", COUNTIFS(#REF!, _xlfn.CONCAT("*", S$4, "*"), #REF!, _xlfn.CONCAT("*", $P14, "*")))</f>
        <v/>
      </c>
      <c r="T14" s="70" t="str">
        <f>IF(OR($P14=T$4,T$4="",$P14=""),"", COUNTIFS(#REF!, _xlfn.CONCAT("*", T$4, "*"), #REF!, _xlfn.CONCAT("*", $P14, "*")))</f>
        <v/>
      </c>
      <c r="U14" s="70" t="str">
        <f>IF(OR($P14=U$4,U$4="",$P14=""),"", COUNTIFS(#REF!, _xlfn.CONCAT("*", U$4, "*"), #REF!, _xlfn.CONCAT("*", $P14, "*")))</f>
        <v/>
      </c>
      <c r="V14" s="70" t="str">
        <f>IF(OR($P14=V$4,V$4="",$P14=""),"", COUNTIFS(#REF!, _xlfn.CONCAT("*", V$4, "*"), #REF!, _xlfn.CONCAT("*", $P14, "*")))</f>
        <v/>
      </c>
      <c r="W14" s="70" t="str">
        <f>IF(OR($P14=W$4,W$4="",$P14=""),"", COUNTIFS(#REF!, _xlfn.CONCAT("*", W$4, "*"), #REF!, _xlfn.CONCAT("*", $P14, "*")))</f>
        <v/>
      </c>
      <c r="X14" s="70" t="str">
        <f>IF(OR($P14=X$4,X$4="",$P14=""),"", COUNTIFS(#REF!, _xlfn.CONCAT("*", X$4, "*"), #REF!, _xlfn.CONCAT("*", $P14, "*")))</f>
        <v/>
      </c>
      <c r="Y14" s="70" t="str">
        <f>IF(OR($P14=Y$4,Y$4="",$P14=""),"", COUNTIFS(#REF!, _xlfn.CONCAT("*", Y$4, "*"), #REF!, _xlfn.CONCAT("*", $P14, "*")))</f>
        <v/>
      </c>
      <c r="Z14" s="70" t="str">
        <f>IF(OR($P14=Z$4,Z$4="",$P14=""),"", COUNTIFS(#REF!, _xlfn.CONCAT("*", Z$4, "*"), #REF!, _xlfn.CONCAT("*", $P14, "*")))</f>
        <v/>
      </c>
      <c r="AA14" s="70" t="str">
        <f>IF(OR($P14=AA$4,AA$4="",$P14=""),"", COUNTIFS(#REF!, _xlfn.CONCAT("*", AA$4, "*"), #REF!, _xlfn.CONCAT("*", $P14, "*")))</f>
        <v/>
      </c>
    </row>
    <row r="15" spans="1:27" ht="37.5" customHeight="1" x14ac:dyDescent="0.55000000000000004">
      <c r="B15" s="67"/>
      <c r="C15" s="70" t="str">
        <f>IF(OR($B15=C$4,C$4="",$B15=""),"", COUNTIFS(#REF!, _xlfn.CONCAT("*", C$4, "*"), #REF!, _xlfn.CONCAT("*", $B15, "*")))</f>
        <v/>
      </c>
      <c r="D15" s="70" t="str">
        <f>IF(OR($B15=D$4,D$4="",$B15=""),"", COUNTIFS(#REF!, _xlfn.CONCAT("*", D$4, "*"), #REF!, _xlfn.CONCAT("*", $B15, "*")))</f>
        <v/>
      </c>
      <c r="E15" s="70" t="str">
        <f>IF(OR($B15=E$4,E$4="",$B15=""),"", COUNTIFS(#REF!, _xlfn.CONCAT("*", E$4, "*"), #REF!, _xlfn.CONCAT("*", $B15, "*")))</f>
        <v/>
      </c>
      <c r="F15" s="70" t="str">
        <f>IF(OR($B15=F$4,F$4="",$B15=""),"", COUNTIFS(#REF!, _xlfn.CONCAT("*", F$4, "*"), #REF!, _xlfn.CONCAT("*", $B15, "*")))</f>
        <v/>
      </c>
      <c r="G15" s="70" t="str">
        <f>IF(OR($B15=G$4,G$4="",$B15=""),"", COUNTIFS(#REF!, _xlfn.CONCAT("*", G$4, "*"), #REF!, _xlfn.CONCAT("*", $B15, "*")))</f>
        <v/>
      </c>
      <c r="H15" s="70" t="str">
        <f>IF(OR($B15=H$4,H$4="",$B15=""),"", COUNTIFS(#REF!, _xlfn.CONCAT("*", H$4, "*"), #REF!, _xlfn.CONCAT("*", $B15, "*")))</f>
        <v/>
      </c>
      <c r="I15" s="70" t="str">
        <f>IF(OR($B15=I$4,I$4="",$B15=""),"", COUNTIFS(#REF!, _xlfn.CONCAT("*", I$4, "*"), #REF!, _xlfn.CONCAT("*", $B15, "*")))</f>
        <v/>
      </c>
      <c r="J15" s="70" t="str">
        <f>IF(OR($B15=J$4,J$4="",$B15=""),"", COUNTIFS(#REF!, _xlfn.CONCAT("*", J$4, "*"), #REF!, _xlfn.CONCAT("*", $B15, "*")))</f>
        <v/>
      </c>
      <c r="K15" s="70" t="str">
        <f>IF(OR($B15=K$4,K$4="",$B15=""),"", COUNTIFS(#REF!, _xlfn.CONCAT("*", K$4, "*"), #REF!, _xlfn.CONCAT("*", $B15, "*")))</f>
        <v/>
      </c>
      <c r="L15" s="70" t="str">
        <f>IF(OR($B15=L$4,L$4="",$B15=""),"", COUNTIFS(#REF!, _xlfn.CONCAT("*", L$4, "*"), #REF!, _xlfn.CONCAT("*", $B15, "*")))</f>
        <v/>
      </c>
      <c r="M15" s="70" t="str">
        <f>IF(OR($B15=M$4,M$4="",$B15=""),"", COUNTIFS(#REF!, _xlfn.CONCAT("*", M$4, "*"), #REF!, _xlfn.CONCAT("*", $B15, "*")))</f>
        <v/>
      </c>
      <c r="N15" s="68"/>
      <c r="P15" s="67"/>
      <c r="Q15" s="70" t="str">
        <f>IF(OR($P15=Q$4,Q$4="",$P15=""),"", COUNTIFS(#REF!, _xlfn.CONCAT("*", Q$4, "*"), #REF!, _xlfn.CONCAT("*", $P15, "*")))</f>
        <v/>
      </c>
      <c r="R15" s="70" t="str">
        <f>IF(OR($P15=R$4,R$4="",$P15=""),"", COUNTIFS(#REF!, _xlfn.CONCAT("*", R$4, "*"), #REF!, _xlfn.CONCAT("*", $P15, "*")))</f>
        <v/>
      </c>
      <c r="S15" s="70" t="str">
        <f>IF(OR($P15=S$4,S$4="",$P15=""),"", COUNTIFS(#REF!, _xlfn.CONCAT("*", S$4, "*"), #REF!, _xlfn.CONCAT("*", $P15, "*")))</f>
        <v/>
      </c>
      <c r="T15" s="70" t="str">
        <f>IF(OR($P15=T$4,T$4="",$P15=""),"", COUNTIFS(#REF!, _xlfn.CONCAT("*", T$4, "*"), #REF!, _xlfn.CONCAT("*", $P15, "*")))</f>
        <v/>
      </c>
      <c r="U15" s="70" t="str">
        <f>IF(OR($P15=U$4,U$4="",$P15=""),"", COUNTIFS(#REF!, _xlfn.CONCAT("*", U$4, "*"), #REF!, _xlfn.CONCAT("*", $P15, "*")))</f>
        <v/>
      </c>
      <c r="V15" s="70" t="str">
        <f>IF(OR($P15=V$4,V$4="",$P15=""),"", COUNTIFS(#REF!, _xlfn.CONCAT("*", V$4, "*"), #REF!, _xlfn.CONCAT("*", $P15, "*")))</f>
        <v/>
      </c>
      <c r="W15" s="70" t="str">
        <f>IF(OR($P15=W$4,W$4="",$P15=""),"", COUNTIFS(#REF!, _xlfn.CONCAT("*", W$4, "*"), #REF!, _xlfn.CONCAT("*", $P15, "*")))</f>
        <v/>
      </c>
      <c r="X15" s="70" t="str">
        <f>IF(OR($P15=X$4,X$4="",$P15=""),"", COUNTIFS(#REF!, _xlfn.CONCAT("*", X$4, "*"), #REF!, _xlfn.CONCAT("*", $P15, "*")))</f>
        <v/>
      </c>
      <c r="Y15" s="70" t="str">
        <f>IF(OR($P15=Y$4,Y$4="",$P15=""),"", COUNTIFS(#REF!, _xlfn.CONCAT("*", Y$4, "*"), #REF!, _xlfn.CONCAT("*", $P15, "*")))</f>
        <v/>
      </c>
      <c r="Z15" s="70" t="str">
        <f>IF(OR($P15=Z$4,Z$4="",$P15=""),"", COUNTIFS(#REF!, _xlfn.CONCAT("*", Z$4, "*"), #REF!, _xlfn.CONCAT("*", $P15, "*")))</f>
        <v/>
      </c>
      <c r="AA15" s="70" t="str">
        <f>IF(OR($P15=AA$4,AA$4="",$P15=""),"", COUNTIFS(#REF!, _xlfn.CONCAT("*", AA$4, "*"), #REF!, _xlfn.CONCAT("*", $P15, "*")))</f>
        <v/>
      </c>
    </row>
    <row r="16" spans="1:27" x14ac:dyDescent="0.55000000000000004">
      <c r="N16" s="68"/>
    </row>
  </sheetData>
  <mergeCells count="7">
    <mergeCell ref="A5:A14"/>
    <mergeCell ref="C3:M3"/>
    <mergeCell ref="B1:L2"/>
    <mergeCell ref="P1:AA2"/>
    <mergeCell ref="Q3:AA3"/>
    <mergeCell ref="N5:N14"/>
    <mergeCell ref="O5:O14"/>
  </mergeCells>
  <conditionalFormatting sqref="B5:B15">
    <cfRule type="notContainsBlanks" dxfId="5" priority="5">
      <formula>LEN(TRIM(B5))&gt;0</formula>
    </cfRule>
  </conditionalFormatting>
  <conditionalFormatting sqref="C4:M4">
    <cfRule type="notContainsBlanks" dxfId="4" priority="7">
      <formula>LEN(TRIM(C4))&gt;0</formula>
    </cfRule>
  </conditionalFormatting>
  <conditionalFormatting sqref="C5:M15">
    <cfRule type="notContainsBlanks" dxfId="3" priority="6">
      <formula>LEN(TRIM(C5))&gt;0</formula>
    </cfRule>
    <cfRule type="colorScale" priority="8">
      <colorScale>
        <cfvo type="min"/>
        <cfvo type="max"/>
        <color theme="8" tint="0.79998168889431442"/>
        <color theme="8" tint="-0.249977111117893"/>
      </colorScale>
    </cfRule>
  </conditionalFormatting>
  <conditionalFormatting sqref="P5:P15">
    <cfRule type="notContainsBlanks" dxfId="2" priority="1">
      <formula>LEN(TRIM(P5))&gt;0</formula>
    </cfRule>
  </conditionalFormatting>
  <conditionalFormatting sqref="Q4:AA4">
    <cfRule type="notContainsBlanks" dxfId="1" priority="3">
      <formula>LEN(TRIM(Q4))&gt;0</formula>
    </cfRule>
  </conditionalFormatting>
  <conditionalFormatting sqref="Q5:AA15">
    <cfRule type="notContainsBlanks" dxfId="0" priority="2">
      <formula>LEN(TRIM(Q5))&gt;0</formula>
    </cfRule>
    <cfRule type="colorScale" priority="4">
      <colorScale>
        <cfvo type="min"/>
        <cfvo type="max"/>
        <color theme="8" tint="0.79998168889431442"/>
        <color theme="8" tint="-0.249977111117893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2c71c120-b919-4552-8179-5cc8209ae34e">
      <Terms xmlns="http://schemas.microsoft.com/office/infopath/2007/PartnerControls"/>
    </lcf76f155ced4ddcb4097134ff3c332f>
    <SharedWithUsers xmlns="baf121fa-59df-4465-972a-a50e3f5ceefd">
      <UserInfo>
        <DisplayName>Reem Nashashibi</DisplayName>
        <AccountId>504</AccountId>
        <AccountType/>
      </UserInfo>
      <UserInfo>
        <DisplayName>Shane Doherty</DisplayName>
        <AccountId>877</AccountId>
        <AccountType/>
      </UserInfo>
      <UserInfo>
        <DisplayName>Annarita Marcantonio</DisplayName>
        <AccountId>118</AccountId>
        <AccountType/>
      </UserInfo>
      <UserInfo>
        <DisplayName>Jake Morland</DisplayName>
        <AccountId>876</AccountId>
        <AccountType/>
      </UserInfo>
      <UserInfo>
        <DisplayName>Cynthia Hatfield</DisplayName>
        <AccountId>875</AccountId>
        <AccountType/>
      </UserInfo>
    </SharedWithUsers>
    <MediaLengthInSeconds xmlns="2c71c120-b919-4552-8179-5cc8209ae3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6A22DF2BF4E741B20FC849E833E823" ma:contentTypeVersion="17" ma:contentTypeDescription="Create a new document." ma:contentTypeScope="" ma:versionID="a58fdf467d6bf649b625037c1ffcc356">
  <xsd:schema xmlns:xsd="http://www.w3.org/2001/XMLSchema" xmlns:xs="http://www.w3.org/2001/XMLSchema" xmlns:p="http://schemas.microsoft.com/office/2006/metadata/properties" xmlns:ns2="2c71c120-b919-4552-8179-5cc8209ae34e" xmlns:ns3="baf121fa-59df-4465-972a-a50e3f5ceefd" xmlns:ns4="985ec44e-1bab-4c0b-9df0-6ba128686fc9" targetNamespace="http://schemas.microsoft.com/office/2006/metadata/properties" ma:root="true" ma:fieldsID="744aff1c6cae50e4dd7c058402775f00" ns2:_="" ns3:_="" ns4:_="">
    <xsd:import namespace="2c71c120-b919-4552-8179-5cc8209ae34e"/>
    <xsd:import namespace="baf121fa-59df-4465-972a-a50e3f5ceefd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1c120-b919-4552-8179-5cc8209ae3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f121fa-59df-4465-972a-a50e3f5ceef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f080c8c-5946-4434-bd4e-0ca17528b6b3}" ma:internalName="TaxCatchAll" ma:showField="CatchAllData" ma:web="baf121fa-59df-4465-972a-a50e3f5cee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4DB33FB5-1F5A-4D1B-85FB-9C0BE1535D94}">
  <ds:schemaRefs>
    <ds:schemaRef ds:uri="http://schemas.microsoft.com/office/2006/metadata/properties"/>
    <ds:schemaRef ds:uri="http://schemas.microsoft.com/office/infopath/2007/PartnerControls"/>
    <ds:schemaRef ds:uri="985ec44e-1bab-4c0b-9df0-6ba128686fc9"/>
    <ds:schemaRef ds:uri="0292b1bc-dc04-4c7a-906e-4a7c2dc29542"/>
    <ds:schemaRef ds:uri="bd0faaa1-daec-4526-9aaa-a3949102b502"/>
    <ds:schemaRef ds:uri="fc749cf6-2fa5-469f-9513-669a5055685c"/>
    <ds:schemaRef ds:uri="8687d7a2-52f3-4734-bf71-7070c2f04360"/>
    <ds:schemaRef ds:uri="2c71c120-b919-4552-8179-5cc8209ae34e"/>
    <ds:schemaRef ds:uri="baf121fa-59df-4465-972a-a50e3f5ceefd"/>
  </ds:schemaRefs>
</ds:datastoreItem>
</file>

<file path=customXml/itemProps2.xml><?xml version="1.0" encoding="utf-8"?>
<ds:datastoreItem xmlns:ds="http://schemas.openxmlformats.org/officeDocument/2006/customXml" ds:itemID="{AD6EEA51-803D-4FB0-B8CF-ED701E7D81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71c120-b919-4552-8179-5cc8209ae34e"/>
    <ds:schemaRef ds:uri="baf121fa-59df-4465-972a-a50e3f5ceefd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773FCC-826E-4CAD-9139-51980A25E69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9BA3362-B553-4C18-82A9-9E38B32353F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WS - 3.1 Overall PiN</vt:lpstr>
      <vt:lpstr>PiN Visuals</vt:lpstr>
      <vt:lpstr>WS - 3.2 Intersectoral Severity</vt:lpstr>
      <vt:lpstr>Preliminary results graph</vt:lpstr>
      <vt:lpstr>PiN &amp; Sev - Corr Coeff</vt:lpstr>
      <vt:lpstr>PiN &amp; Sev - value overlapping</vt:lpstr>
      <vt:lpstr>PiN &amp; Sev - 1st &amp; 2nd highest</vt:lpstr>
      <vt:lpstr>pin_perc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Kashif NADEEM</dc:creator>
  <cp:keywords/>
  <dc:description/>
  <cp:lastModifiedBy>Ana Maria Pereira</cp:lastModifiedBy>
  <cp:revision/>
  <cp:lastPrinted>2026-02-06T09:37:32Z</cp:lastPrinted>
  <dcterms:created xsi:type="dcterms:W3CDTF">2021-12-15T14:13:54Z</dcterms:created>
  <dcterms:modified xsi:type="dcterms:W3CDTF">2026-02-19T09:08:16Z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0x010100A06A22DF2BF4E741B20FC849E833E823</vt:lpwstr>
  </property>
  <property fmtid="{D5CDD505-2E9C-101B-9397-08002B2CF9AE}" pid="3" name="Order">
    <vt:r8>138800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  <property fmtid="{D5CDD505-2E9C-101B-9397-08002B2CF9AE}" pid="11" name="MSIP_Label_8b77875e-5908-45a0-9cb4-dec9ae074618_Enabled">
    <vt:lpwstr>true</vt:lpwstr>
  </property>
  <property fmtid="{D5CDD505-2E9C-101B-9397-08002B2CF9AE}" pid="12" name="MSIP_Label_8b77875e-5908-45a0-9cb4-dec9ae074618_SetDate">
    <vt:lpwstr>2025-10-14T15:45:29Z</vt:lpwstr>
  </property>
  <property fmtid="{D5CDD505-2E9C-101B-9397-08002B2CF9AE}" pid="13" name="MSIP_Label_8b77875e-5908-45a0-9cb4-dec9ae074618_Method">
    <vt:lpwstr>Privileged</vt:lpwstr>
  </property>
  <property fmtid="{D5CDD505-2E9C-101B-9397-08002B2CF9AE}" pid="14" name="MSIP_Label_8b77875e-5908-45a0-9cb4-dec9ae074618_Name">
    <vt:lpwstr>8b77875e-5908-45a0-9cb4-dec9ae074618</vt:lpwstr>
  </property>
  <property fmtid="{D5CDD505-2E9C-101B-9397-08002B2CF9AE}" pid="15" name="MSIP_Label_8b77875e-5908-45a0-9cb4-dec9ae074618_SiteId">
    <vt:lpwstr>0f9e35db-544f-4f60-bdcc-5ea416e6dc70</vt:lpwstr>
  </property>
  <property fmtid="{D5CDD505-2E9C-101B-9397-08002B2CF9AE}" pid="16" name="MSIP_Label_8b77875e-5908-45a0-9cb4-dec9ae074618_ActionId">
    <vt:lpwstr>07312c31-06ba-4ed2-9509-6323cf6c4cfc</vt:lpwstr>
  </property>
  <property fmtid="{D5CDD505-2E9C-101B-9397-08002B2CF9AE}" pid="17" name="MSIP_Label_8b77875e-5908-45a0-9cb4-dec9ae074618_ContentBits">
    <vt:lpwstr>0</vt:lpwstr>
  </property>
  <property fmtid="{D5CDD505-2E9C-101B-9397-08002B2CF9AE}" pid="18" name="MSIP_Label_8b77875e-5908-45a0-9cb4-dec9ae074618_Tag">
    <vt:lpwstr>10, 0, 1, 1</vt:lpwstr>
  </property>
</Properties>
</file>